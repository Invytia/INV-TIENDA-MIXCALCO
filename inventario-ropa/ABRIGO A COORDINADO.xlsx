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370" windowHeight="7620" activeTab="5"/>
  </bookViews>
  <sheets>
    <sheet name="CODIGO" sheetId="6" r:id="rId1"/>
    <sheet name="ABRIGO" sheetId="3" r:id="rId2"/>
    <sheet name="SACO" sheetId="2" r:id="rId3"/>
    <sheet name="CHALECO" sheetId="1" r:id="rId4"/>
    <sheet name="SUETER UNITALLA XL " sheetId="4" r:id="rId5"/>
    <sheet name="BLUSA SUETER COORD" sheetId="7" r:id="rId6"/>
    <sheet name="SUETER CH G" sheetId="8" r:id="rId7"/>
    <sheet name="FALDA TALLAS" sheetId="9" r:id="rId8"/>
    <sheet name="UNITALLA FALVEST" sheetId="10" r:id="rId9"/>
    <sheet name="COORD TELA TALLAS" sheetId="11" r:id="rId10"/>
    <sheet name="Hoja11" sheetId="12" r:id="rId11"/>
  </sheets>
  <externalReferences>
    <externalReference r:id="rId12"/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<sst xmlns="http://schemas.openxmlformats.org/spreadsheetml/2006/main" count="1659" uniqueCount="216">
  <si>
    <t>PROVEEDOR</t>
  </si>
  <si>
    <t>CODIGO</t>
  </si>
  <si>
    <t>CARACTERISTICA</t>
  </si>
  <si>
    <t>TT UNIDADES</t>
  </si>
  <si>
    <t>DAMA ABRIGO</t>
  </si>
  <si>
    <t>8 BOTONES C /CAPUCHA</t>
  </si>
  <si>
    <t>SCAREM</t>
  </si>
  <si>
    <t xml:space="preserve">KATY </t>
  </si>
  <si>
    <t>LARGO C/PELUCHE 4 B</t>
  </si>
  <si>
    <t>CORTO</t>
  </si>
  <si>
    <t>DAMA CHAMARRA</t>
  </si>
  <si>
    <t>CORTA</t>
  </si>
  <si>
    <t>ABRIGO CABALLERO</t>
  </si>
  <si>
    <t>LARGO</t>
  </si>
  <si>
    <t>VARCORT</t>
  </si>
  <si>
    <t>BLAZER CABALLERO</t>
  </si>
  <si>
    <t>ABRIGO NIÑA</t>
  </si>
  <si>
    <t>ANNY</t>
  </si>
  <si>
    <t xml:space="preserve"> 3/4 SACO</t>
  </si>
  <si>
    <t>ARY</t>
  </si>
  <si>
    <t>ONDAS ML</t>
  </si>
  <si>
    <t>ONDAS ML SACO</t>
  </si>
  <si>
    <t>CHALECO TELA LISO</t>
  </si>
  <si>
    <t>SUPER POPNTI</t>
  </si>
  <si>
    <t>CHALECO TELA ESTAMPADO</t>
  </si>
  <si>
    <t>VARIOS</t>
  </si>
  <si>
    <t>SUETER</t>
  </si>
  <si>
    <t>UNITALLA XL</t>
  </si>
  <si>
    <t>CH G</t>
  </si>
  <si>
    <t>REGIS</t>
  </si>
  <si>
    <t>COORDINADO</t>
  </si>
  <si>
    <t>VARIOS BLUSA/SUETER</t>
  </si>
  <si>
    <t>TIMIDOS</t>
  </si>
  <si>
    <t>CALADO BLUSA/SUETER</t>
  </si>
  <si>
    <t>MONJES</t>
  </si>
  <si>
    <t>ODRE</t>
  </si>
  <si>
    <t>BORDADO BLUS/SUETER</t>
  </si>
  <si>
    <t>CAROL</t>
  </si>
  <si>
    <t>CAROL 01</t>
  </si>
  <si>
    <t>FALDA C/HOJAS</t>
  </si>
  <si>
    <t>SCAREN</t>
  </si>
  <si>
    <t>SCAREN 01</t>
  </si>
  <si>
    <t>FALDA PRETINA</t>
  </si>
  <si>
    <t>EVIER</t>
  </si>
  <si>
    <t>EVIER 01</t>
  </si>
  <si>
    <t>FALDA PELO CONEJO</t>
  </si>
  <si>
    <t>SEX</t>
  </si>
  <si>
    <t>VESTIDO TABLEADO</t>
  </si>
  <si>
    <t>VESTIDO CUADROS</t>
  </si>
  <si>
    <t>MILEORE</t>
  </si>
  <si>
    <t>VESTIDO 2 BOTONES HOMBRO</t>
  </si>
  <si>
    <t>DOMIL</t>
  </si>
  <si>
    <t>VESTIDO 2 BOTONES MANGA</t>
  </si>
  <si>
    <t>JESSICA</t>
  </si>
  <si>
    <t>VESTIDO  C/SACO</t>
  </si>
  <si>
    <t>FALDA BLUSA C/ SACO</t>
  </si>
  <si>
    <t>GENERAL</t>
  </si>
  <si>
    <t>ABRIGOS SUETER VESTIDO FALDA COORDINADOS CARDIGAN CHALECOS</t>
  </si>
  <si>
    <t>BLUSAS</t>
  </si>
  <si>
    <t>PANTALONES</t>
  </si>
  <si>
    <t>COLOR</t>
  </si>
  <si>
    <t>NEGRO</t>
  </si>
  <si>
    <t>MARINO</t>
  </si>
  <si>
    <t>ROJO</t>
  </si>
  <si>
    <t>HUESO</t>
  </si>
  <si>
    <t>ARENA</t>
  </si>
  <si>
    <t>KATY LARGO C/PELUCHE 4 B</t>
  </si>
  <si>
    <t>MOSTAZA</t>
  </si>
  <si>
    <t>CAMEL</t>
  </si>
  <si>
    <t>CAFE</t>
  </si>
  <si>
    <t>PALO</t>
  </si>
  <si>
    <t>VINO</t>
  </si>
  <si>
    <t>GRIS</t>
  </si>
  <si>
    <t>MORADO</t>
  </si>
  <si>
    <t>CORTO CHAMARRA</t>
  </si>
  <si>
    <t>CABALLERO LARGO</t>
  </si>
  <si>
    <t>VALCORT CORTO CAB</t>
  </si>
  <si>
    <t>BLAZER LANA CAB</t>
  </si>
  <si>
    <t>BEIGE</t>
  </si>
  <si>
    <t>NIÑA 8 BOTONES</t>
  </si>
  <si>
    <t>BLANCO</t>
  </si>
  <si>
    <t>3/4 SACO</t>
  </si>
  <si>
    <t>KELLY</t>
  </si>
  <si>
    <t>BUGAMBILIA</t>
  </si>
  <si>
    <t>CHALECO TELA</t>
  </si>
  <si>
    <t>AJEDREZ B/N</t>
  </si>
  <si>
    <t>CHEDRON</t>
  </si>
  <si>
    <t>FUCSIA</t>
  </si>
  <si>
    <t>CAMOTE</t>
  </si>
  <si>
    <t>MILITAR</t>
  </si>
  <si>
    <t>LILA</t>
  </si>
  <si>
    <t>TELA SUPER PONTI</t>
  </si>
  <si>
    <t>NEGRO ESTAMPADO</t>
  </si>
  <si>
    <t>M</t>
  </si>
  <si>
    <t>G</t>
  </si>
  <si>
    <t>XL</t>
  </si>
  <si>
    <t>P´BASIC LUZ</t>
  </si>
  <si>
    <t>UNITALLA</t>
  </si>
  <si>
    <t>SPORT 3/4</t>
  </si>
  <si>
    <t>NEGRO JASPEADO</t>
  </si>
  <si>
    <t>GRIS CLARO</t>
  </si>
  <si>
    <t>CIELO</t>
  </si>
  <si>
    <t>SPORT ML</t>
  </si>
  <si>
    <t>OXFORD</t>
  </si>
  <si>
    <t>MOKA</t>
  </si>
  <si>
    <t>ROSA</t>
  </si>
  <si>
    <t>C-REDND 3/4</t>
  </si>
  <si>
    <t>SALMON</t>
  </si>
  <si>
    <t>CEMENTO</t>
  </si>
  <si>
    <t>PISTACHE</t>
  </si>
  <si>
    <t>CAKI</t>
  </si>
  <si>
    <t>MELANI</t>
  </si>
  <si>
    <t>CHALECO</t>
  </si>
  <si>
    <t>ROMBOS</t>
  </si>
  <si>
    <t>LADRILLO</t>
  </si>
  <si>
    <t>LISO</t>
  </si>
  <si>
    <t>CAPA</t>
  </si>
  <si>
    <t>MAMEY</t>
  </si>
  <si>
    <t>ROSA CLARO</t>
  </si>
  <si>
    <t>FUICSIA</t>
  </si>
  <si>
    <t>KELLI</t>
  </si>
  <si>
    <t>LISO TEJIDA CIERRE</t>
  </si>
  <si>
    <t>BOTELLA</t>
  </si>
  <si>
    <t>PERLA</t>
  </si>
  <si>
    <t>BROCHE LISO</t>
  </si>
  <si>
    <t>FRESA</t>
  </si>
  <si>
    <t>BLANCA</t>
  </si>
  <si>
    <t>CHOCOLATE</t>
  </si>
  <si>
    <t>MANTEQILLA</t>
  </si>
  <si>
    <t>NARANJA</t>
  </si>
  <si>
    <t>SANDIA</t>
  </si>
  <si>
    <t>3 BOTONES CARDIGAN</t>
  </si>
  <si>
    <t xml:space="preserve">CARDIGAN LARGO </t>
  </si>
  <si>
    <t>SUETER MANGA MARIPOSA</t>
  </si>
  <si>
    <t>PIZARRA</t>
  </si>
  <si>
    <t>SUETER CORTO ABIERTO</t>
  </si>
  <si>
    <t>001</t>
  </si>
  <si>
    <t>CARDIGAN 3/4 ABIERTO</t>
  </si>
  <si>
    <t>OLIVO</t>
  </si>
  <si>
    <t>REY</t>
  </si>
  <si>
    <t>CHEDON</t>
  </si>
  <si>
    <t>CUELLO RUSO</t>
  </si>
  <si>
    <t>BONY</t>
  </si>
  <si>
    <t>UNICA PIEZA</t>
  </si>
  <si>
    <t>CIERRE UNICA PIEZA</t>
  </si>
  <si>
    <t>CUELLO COLGANTE</t>
  </si>
  <si>
    <t>MENTA</t>
  </si>
  <si>
    <t>C1</t>
  </si>
  <si>
    <t>MOSATZA</t>
  </si>
  <si>
    <t>C-52</t>
  </si>
  <si>
    <t>CHALECO BOTONES</t>
  </si>
  <si>
    <t>BEICGE</t>
  </si>
  <si>
    <t>CUELLO ALTO</t>
  </si>
  <si>
    <t>D29</t>
  </si>
  <si>
    <t>BOTONES</t>
  </si>
  <si>
    <t>CERRADO</t>
  </si>
  <si>
    <t>BOTONES HOMBRO</t>
  </si>
  <si>
    <t>VAINILLA</t>
  </si>
  <si>
    <t>N1</t>
  </si>
  <si>
    <t>N2</t>
  </si>
  <si>
    <t>BLUSA</t>
  </si>
  <si>
    <t>AMRILLA</t>
  </si>
  <si>
    <t>NEGRA</t>
  </si>
  <si>
    <t>CORAL</t>
  </si>
  <si>
    <t>AMARILLO</t>
  </si>
  <si>
    <t>B261</t>
  </si>
  <si>
    <t>CARDIGAN ABANICO</t>
  </si>
  <si>
    <t>SUETER BLUSA</t>
  </si>
  <si>
    <t>MANDALA</t>
  </si>
  <si>
    <t>01</t>
  </si>
  <si>
    <t>BLUSA CASCADA CARDIGAN</t>
  </si>
  <si>
    <t>02</t>
  </si>
  <si>
    <t>BLUSA CARAMELO</t>
  </si>
  <si>
    <t>MALVA</t>
  </si>
  <si>
    <t>YAM LIZ</t>
  </si>
  <si>
    <t>SUETER/PANT COORDINADO</t>
  </si>
  <si>
    <t>RAYA</t>
  </si>
  <si>
    <t>DE PELLIZCO</t>
  </si>
  <si>
    <t>BRAGA</t>
  </si>
  <si>
    <t>N7</t>
  </si>
  <si>
    <t>N5</t>
  </si>
  <si>
    <t>ESPIGA BLUSA/SUETER</t>
  </si>
  <si>
    <t>PATA BLUSA/SUETER</t>
  </si>
  <si>
    <t>PATA GRIS</t>
  </si>
  <si>
    <t>LISO BLUSA/SUETER</t>
  </si>
  <si>
    <t>MONJES BLUS/SUETER</t>
  </si>
  <si>
    <t>PLUMBAGO</t>
  </si>
  <si>
    <t>UVA</t>
  </si>
  <si>
    <t>PETROLEO</t>
  </si>
  <si>
    <t>NO HAY ARRIBA</t>
  </si>
  <si>
    <t>CH</t>
  </si>
  <si>
    <t>006</t>
  </si>
  <si>
    <t>BOTON ML</t>
  </si>
  <si>
    <t>ROSA MEDIO</t>
  </si>
  <si>
    <t>034</t>
  </si>
  <si>
    <t>M L</t>
  </si>
  <si>
    <t>006-MC</t>
  </si>
  <si>
    <t>BOTON MC</t>
  </si>
  <si>
    <t>007</t>
  </si>
  <si>
    <t>VERDE</t>
  </si>
  <si>
    <t>GRIS MEDIO</t>
  </si>
  <si>
    <t>FRANCIA</t>
  </si>
  <si>
    <t>JADE</t>
  </si>
  <si>
    <t>MANZANA</t>
  </si>
  <si>
    <t>VESTIDO RAYADO H C/SACO</t>
  </si>
  <si>
    <t>VESTIDO ESTAMPANDO C/SACO</t>
  </si>
  <si>
    <t>VESTIDO LUNARES C/SACO</t>
  </si>
  <si>
    <t>VESTIDO RAYADO V C/SACO</t>
  </si>
  <si>
    <t>VESTIDO FLOREADO C/SACO</t>
  </si>
  <si>
    <t>VESTIDO BICOLOR LISO C/SACO</t>
  </si>
  <si>
    <t>NEGRO HUESO</t>
  </si>
  <si>
    <t>MARINO HUESO</t>
  </si>
  <si>
    <t>LILA HUESO</t>
  </si>
  <si>
    <t>ESMERALDA HUESO</t>
  </si>
  <si>
    <t>PETROLEO HUESO</t>
  </si>
  <si>
    <t>VESTIDO C/SACO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</si>
</sst>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8" applyNumberFormat="0" applyAlignment="0" applyProtection="0">
      <alignment vertical="center"/>
    </xf>
    <xf numFmtId="0" fontId="10" fillId="8" borderId="9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5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ont="1" applyFill="1" applyBorder="1" applyAlignment="1">
      <alignment horizont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0" fillId="0" borderId="3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1" xfId="0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5" borderId="1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LUS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NTALON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DIGO 00"/>
      <sheetName val="BLUSA ANNY"/>
      <sheetName val="MGXL"/>
      <sheetName val="UNITALLA"/>
      <sheetName val="TABLAS"/>
      <sheetName val="SAMANTHA BLUSA"/>
      <sheetName val="PORCEL BLUSA"/>
      <sheetName val="JOHNIS BLUSA"/>
      <sheetName val="BLUSA SIGILO"/>
      <sheetName val="BLUSA ERANDI"/>
      <sheetName val="BLUSA JANET"/>
      <sheetName val="CAMISETA"/>
      <sheetName val="BLUSON"/>
    </sheetNames>
    <sheetDataSet>
      <sheetData sheetId="0">
        <row r="104">
          <cell r="E104">
            <v>1996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DIGO"/>
      <sheetName val="493-01"/>
      <sheetName val="493-02"/>
      <sheetName val="493-03"/>
      <sheetName val="ELEGANCE-04"/>
      <sheetName val="ELEGANCE-05"/>
      <sheetName val="2025"/>
      <sheetName val="7003"/>
      <sheetName val="JANET Pretina 06"/>
      <sheetName val="CAPRI"/>
      <sheetName val="MAYON"/>
      <sheetName val="Hoja6"/>
      <sheetName val="Hoja7"/>
    </sheetNames>
    <sheetDataSet>
      <sheetData sheetId="0">
        <row r="21">
          <cell r="E21">
            <v>3238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10" workbookViewId="0">
      <selection activeCell="D16" sqref="D16"/>
    </sheetView>
  </sheetViews>
  <sheetFormatPr defaultColWidth="9.14285714285714" defaultRowHeight="15" outlineLevelCol="5"/>
  <cols>
    <col min="1" max="1" width="15" style="51" customWidth="1"/>
    <col min="2" max="2" width="22.8571428571429" style="51" customWidth="1"/>
    <col min="3" max="3" width="28" style="51" customWidth="1"/>
    <col min="4" max="4" width="14.5714285714286" style="51" customWidth="1"/>
    <col min="5" max="16384" width="9.14285714285714" style="51"/>
  </cols>
  <sheetData>
    <row r="1" spans="1:6">
      <c r="A1" s="20" t="s">
        <v>0</v>
      </c>
      <c r="B1" s="20" t="s">
        <v>1</v>
      </c>
      <c r="C1" s="20" t="s">
        <v>2</v>
      </c>
      <c r="D1" s="20" t="s">
        <v>3</v>
      </c>
    </row>
    <row r="2" spans="1:6">
      <c r="A2" s="20"/>
      <c r="B2" s="20" t="s">
        <v>4</v>
      </c>
      <c r="C2" s="7" t="s">
        <v>5</v>
      </c>
      <c r="D2" s="20">
        <f>ABRIGO!M5</f>
        <v>9</v>
      </c>
    </row>
    <row r="3" spans="1:6">
      <c r="A3" s="20" t="s">
        <v>6</v>
      </c>
      <c r="B3" s="20" t="s">
        <v>4</v>
      </c>
      <c r="C3" s="20"/>
      <c r="D3" s="20">
        <f>ABRIGO!M8</f>
        <v>11</v>
      </c>
    </row>
    <row r="4" spans="1:6">
      <c r="A4" s="20" t="s">
        <v>7</v>
      </c>
      <c r="B4" s="20" t="s">
        <v>4</v>
      </c>
      <c r="C4" s="20" t="s">
        <v>8</v>
      </c>
      <c r="D4" s="20">
        <f>ABRIGO!M18</f>
        <v>36</v>
      </c>
    </row>
    <row r="5" spans="1:6">
      <c r="A5" s="20"/>
      <c r="B5" s="20" t="s">
        <v>4</v>
      </c>
      <c r="C5" s="20" t="s">
        <v>9</v>
      </c>
      <c r="D5" s="20">
        <f>ABRIGO!M19</f>
        <v>1</v>
      </c>
    </row>
    <row r="6" spans="1:6">
      <c r="A6" s="13"/>
      <c r="B6" s="13" t="s">
        <v>10</v>
      </c>
      <c r="C6" s="13" t="s">
        <v>11</v>
      </c>
      <c r="D6" s="13">
        <f>1</f>
        <v>1</v>
      </c>
      <c r="E6" s="52">
        <f>SUM(D2:D6)</f>
        <v>58</v>
      </c>
    </row>
    <row r="7" spans="1:6">
      <c r="A7" s="20"/>
      <c r="B7" s="20" t="s">
        <v>12</v>
      </c>
      <c r="C7" s="20" t="s">
        <v>13</v>
      </c>
      <c r="D7" s="20">
        <f>ABRIGO!M21</f>
        <v>1</v>
      </c>
    </row>
    <row r="8" spans="1:6">
      <c r="A8" s="20" t="s">
        <v>14</v>
      </c>
      <c r="B8" s="20" t="s">
        <v>12</v>
      </c>
      <c r="C8" s="20" t="s">
        <v>9</v>
      </c>
      <c r="D8" s="20">
        <f>ABRIGO!M22</f>
        <v>1</v>
      </c>
      <c r="E8" s="51">
        <f>D7+D8</f>
        <v>2</v>
      </c>
    </row>
    <row r="9" spans="1:6">
      <c r="A9" s="20" t="s">
        <v>14</v>
      </c>
      <c r="B9" s="20" t="s">
        <v>15</v>
      </c>
      <c r="C9" s="20" t="s">
        <v>9</v>
      </c>
      <c r="D9" s="20">
        <f>ABRIGO!M23</f>
        <v>8</v>
      </c>
    </row>
    <row r="10" spans="1:6">
      <c r="A10" s="20" t="s">
        <v>14</v>
      </c>
      <c r="B10" s="20" t="s">
        <v>15</v>
      </c>
      <c r="C10" s="20" t="s">
        <v>9</v>
      </c>
      <c r="D10" s="20">
        <f>ABRIGO!M24</f>
        <v>3</v>
      </c>
      <c r="E10" s="51">
        <f>D9+D10</f>
        <v>11</v>
      </c>
    </row>
    <row r="11" spans="1:6">
      <c r="A11" s="13"/>
      <c r="B11" s="13" t="s">
        <v>16</v>
      </c>
      <c r="C11" s="13"/>
      <c r="D11" s="13">
        <f>ABRIGO!I37</f>
        <v>10</v>
      </c>
      <c r="E11" s="52">
        <f>D11</f>
        <v>10</v>
      </c>
      <c r="F11" s="52">
        <f>E6+E8+E10+E11</f>
        <v>81</v>
      </c>
    </row>
    <row r="12" spans="1:6">
      <c r="A12" s="20" t="s">
        <v>17</v>
      </c>
      <c r="B12" s="20">
        <v>2500</v>
      </c>
      <c r="C12" s="20" t="s">
        <v>18</v>
      </c>
      <c r="D12" s="20">
        <f>SACO!K6</f>
        <v>16</v>
      </c>
    </row>
    <row r="13" spans="1:6">
      <c r="A13" s="13" t="s">
        <v>19</v>
      </c>
      <c r="B13" s="13" t="s">
        <v>20</v>
      </c>
      <c r="C13" s="13" t="s">
        <v>21</v>
      </c>
      <c r="D13" s="13">
        <f>SACO!K11</f>
        <v>20</v>
      </c>
      <c r="E13" s="52">
        <f>D12+D13</f>
        <v>36</v>
      </c>
    </row>
    <row r="14" spans="1:6">
      <c r="A14" s="20" t="s">
        <v>19</v>
      </c>
      <c r="B14" s="20">
        <v>3000</v>
      </c>
      <c r="C14" s="20" t="s">
        <v>22</v>
      </c>
      <c r="D14" s="20">
        <f>CHALECO!Q13</f>
        <v>29</v>
      </c>
    </row>
    <row r="15" spans="1:6">
      <c r="A15" s="13" t="s">
        <v>23</v>
      </c>
      <c r="B15" s="13">
        <v>4029</v>
      </c>
      <c r="C15" s="13" t="s">
        <v>24</v>
      </c>
      <c r="D15" s="13">
        <f>CHALECO!Q14</f>
        <v>6</v>
      </c>
      <c r="E15" s="52">
        <f>D14+D15</f>
        <v>35</v>
      </c>
      <c r="F15" s="52">
        <f>E13+E15</f>
        <v>71</v>
      </c>
    </row>
    <row r="16" spans="1:6">
      <c r="A16" s="20" t="s">
        <v>25</v>
      </c>
      <c r="B16" s="20" t="s">
        <v>26</v>
      </c>
      <c r="C16" s="20" t="s">
        <v>27</v>
      </c>
      <c r="D16" s="20">
        <f>'SUETER UNITALLA XL '!G276</f>
        <v>359</v>
      </c>
    </row>
    <row r="17" spans="1:6">
      <c r="A17" s="13" t="s">
        <v>25</v>
      </c>
      <c r="B17" s="13" t="s">
        <v>26</v>
      </c>
      <c r="C17" s="13" t="s">
        <v>28</v>
      </c>
      <c r="D17" s="13">
        <f>'SUETER CH G'!G42</f>
        <v>75</v>
      </c>
      <c r="E17" s="52">
        <f>D16+D17</f>
        <v>434</v>
      </c>
    </row>
    <row r="18" spans="1:6">
      <c r="A18" s="2" t="s">
        <v>29</v>
      </c>
      <c r="B18" s="20" t="s">
        <v>30</v>
      </c>
      <c r="C18" s="20" t="s">
        <v>31</v>
      </c>
      <c r="D18" s="20">
        <f>'BLUSA SUETER COORD'!H10</f>
        <v>24</v>
      </c>
    </row>
    <row r="19" spans="1:6">
      <c r="A19" s="20" t="s">
        <v>32</v>
      </c>
      <c r="B19" s="20" t="s">
        <v>30</v>
      </c>
      <c r="C19" s="2" t="s">
        <v>33</v>
      </c>
      <c r="D19" s="20">
        <f>'BLUSA SUETER COORD'!G20</f>
        <v>16</v>
      </c>
    </row>
    <row r="20" spans="1:6">
      <c r="A20" s="20" t="s">
        <v>34</v>
      </c>
      <c r="B20" s="20" t="s">
        <v>30</v>
      </c>
      <c r="C20" s="20" t="str">
        <f>'BLUSA SUETER COORD'!C21</f>
        <v>MONJES BLUS/SUETER</v>
      </c>
      <c r="D20" s="20">
        <f>'BLUSA SUETER COORD'!G34</f>
        <v>14</v>
      </c>
    </row>
    <row r="21" spans="1:6">
      <c r="A21" s="53" t="s">
        <v>35</v>
      </c>
      <c r="B21" s="53" t="s">
        <v>30</v>
      </c>
      <c r="C21" s="53" t="s">
        <v>36</v>
      </c>
      <c r="D21" s="53">
        <f>'BLUSA SUETER COORD'!G39</f>
        <v>5</v>
      </c>
      <c r="E21" s="52">
        <f>D18+D19+D20+D21</f>
        <v>59</v>
      </c>
      <c r="F21" s="52">
        <f>E21</f>
        <v>59</v>
      </c>
    </row>
    <row r="22" spans="1:6">
      <c r="A22" s="7" t="s">
        <v>37</v>
      </c>
      <c r="B22" s="2" t="s">
        <v>38</v>
      </c>
      <c r="C22" s="2" t="s">
        <v>39</v>
      </c>
      <c r="D22" s="7">
        <f>'FALDA TALLAS'!P2</f>
        <v>12</v>
      </c>
      <c r="E22" s="7"/>
      <c r="F22" s="7"/>
    </row>
    <row r="23" spans="1:6">
      <c r="A23" s="33" t="s">
        <v>40</v>
      </c>
      <c r="B23" s="34" t="s">
        <v>41</v>
      </c>
      <c r="C23" s="34" t="s">
        <v>42</v>
      </c>
      <c r="D23" s="33">
        <f>'FALDA TALLAS'!P23</f>
        <v>259</v>
      </c>
      <c r="E23" s="52">
        <f>D22+D23</f>
        <v>271</v>
      </c>
    </row>
    <row r="24" spans="1:6">
      <c r="A24" s="13" t="s">
        <v>43</v>
      </c>
      <c r="B24" s="10" t="s">
        <v>44</v>
      </c>
      <c r="C24" s="10" t="s">
        <v>45</v>
      </c>
      <c r="D24" s="13">
        <f>'UNITALLA FALVEST'!G13</f>
        <v>27</v>
      </c>
      <c r="E24" s="52">
        <f>D22+D23+D24</f>
        <v>298</v>
      </c>
    </row>
    <row r="25" spans="1:6">
      <c r="A25" s="7" t="s">
        <v>46</v>
      </c>
      <c r="B25" s="2">
        <v>203</v>
      </c>
      <c r="C25" s="2" t="s">
        <v>47</v>
      </c>
      <c r="D25" s="7">
        <f>'UNITALLA FALVEST'!G23</f>
        <v>12</v>
      </c>
      <c r="E25" s="54"/>
    </row>
    <row r="26" spans="1:6">
      <c r="A26" s="7" t="s">
        <v>46</v>
      </c>
      <c r="B26" s="2">
        <v>178</v>
      </c>
      <c r="C26" s="2" t="s">
        <v>48</v>
      </c>
      <c r="D26" s="7">
        <f>'UNITALLA FALVEST'!G29</f>
        <v>7</v>
      </c>
      <c r="E26" s="54"/>
    </row>
    <row r="27" spans="1:6">
      <c r="A27" s="7" t="s">
        <v>49</v>
      </c>
      <c r="B27" s="7">
        <v>2537</v>
      </c>
      <c r="C27" s="7" t="s">
        <v>50</v>
      </c>
      <c r="D27" s="7">
        <f>'UNITALLA FALVEST'!G33</f>
        <v>4</v>
      </c>
      <c r="E27" s="54"/>
    </row>
    <row r="28" spans="1:6">
      <c r="A28" s="13" t="s">
        <v>51</v>
      </c>
      <c r="B28" s="13"/>
      <c r="C28" s="13" t="s">
        <v>52</v>
      </c>
      <c r="D28" s="13">
        <f>'UNITALLA FALVEST'!G35</f>
        <v>2</v>
      </c>
      <c r="E28" s="52">
        <f>SUM(D25:D28)</f>
        <v>25</v>
      </c>
    </row>
    <row r="29" spans="1:6">
      <c r="A29" s="7" t="s">
        <v>53</v>
      </c>
      <c r="B29" s="7" t="s">
        <v>25</v>
      </c>
      <c r="C29" s="2" t="s">
        <v>54</v>
      </c>
      <c r="D29" s="7">
        <f>'COORD TELA TALLAS'!Q22</f>
        <v>76</v>
      </c>
      <c r="E29" s="54"/>
    </row>
    <row r="30" spans="1:6">
      <c r="A30" s="13" t="s">
        <v>53</v>
      </c>
      <c r="B30" s="10">
        <v>1922</v>
      </c>
      <c r="C30" s="10" t="s">
        <v>55</v>
      </c>
      <c r="D30" s="13">
        <f>'COORD TELA TALLAS'!P25</f>
        <v>9</v>
      </c>
      <c r="E30" s="52">
        <f>D29+D30</f>
        <v>85</v>
      </c>
    </row>
    <row r="31" spans="1:6">
      <c r="A31" s="20"/>
      <c r="B31" s="20"/>
      <c r="C31" s="20"/>
      <c r="D31" s="7">
        <f>SUM(D22:D30)</f>
        <v>408</v>
      </c>
      <c r="E31" s="54">
        <f>E24+E28+E30</f>
        <v>408</v>
      </c>
    </row>
    <row r="33" spans="1:4">
      <c r="C33" s="51" t="s">
        <v>56</v>
      </c>
    </row>
    <row r="34" spans="1:4">
      <c r="A34" s="20" t="s">
        <v>57</v>
      </c>
      <c r="B34" s="20"/>
      <c r="C34" s="20"/>
      <c r="D34" s="20">
        <f>D31</f>
        <v>408</v>
      </c>
    </row>
    <row r="35" spans="1:4">
      <c r="A35" s="20"/>
      <c r="B35" s="20"/>
      <c r="C35" s="20" t="s">
        <v>58</v>
      </c>
      <c r="D35" s="20">
        <f>'[1]CODIGO 00'!$E$104</f>
        <v>1996</v>
      </c>
    </row>
    <row r="36" spans="1:4">
      <c r="A36" s="20"/>
      <c r="B36" s="20"/>
      <c r="C36" s="20" t="s">
        <v>59</v>
      </c>
      <c r="D36" s="20">
        <f>[2]CODIGO!$E$21</f>
        <v>3238</v>
      </c>
    </row>
    <row r="37" spans="1:4">
      <c r="D37" s="20">
        <f>D34+D35+D36</f>
        <v>5642</v>
      </c>
    </row>
  </sheetData>
  <mergeCells count="1">
    <mergeCell ref="A34:C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pane ySplit="1" topLeftCell="A21" activePane="bottomLeft" state="frozen"/>
      <selection/>
      <selection pane="bottomLeft" activeCell="G41" sqref="G41"/>
    </sheetView>
  </sheetViews>
  <sheetFormatPr defaultColWidth="9.14285714285714" defaultRowHeight="15"/>
  <cols>
    <col min="1" max="1" width="24.8571428571429" customWidth="1"/>
    <col min="2" max="2" width="19.4285714285714" customWidth="1"/>
    <col min="3" max="3" width="19.4285714285714" style="42" customWidth="1"/>
    <col min="4" max="7" width="11" style="42"/>
    <col min="8" max="8" width="12.7142857142857" style="42" customWidth="1"/>
    <col min="9" max="9" width="13.7142857142857" style="42" customWidth="1"/>
    <col min="10" max="12" width="11" style="42"/>
    <col min="13" max="13" width="9.14285714285714" style="42"/>
  </cols>
  <sheetData>
    <row r="1" spans="1:13">
      <c r="A1" s="25" t="s">
        <v>1</v>
      </c>
      <c r="B1" s="3" t="s">
        <v>60</v>
      </c>
      <c r="C1" s="43">
        <v>28</v>
      </c>
      <c r="D1" s="43">
        <v>30</v>
      </c>
      <c r="E1" s="43">
        <v>32</v>
      </c>
      <c r="F1" s="43">
        <v>34</v>
      </c>
      <c r="G1" s="44">
        <v>36</v>
      </c>
      <c r="H1" s="44">
        <v>38</v>
      </c>
      <c r="I1" s="44">
        <v>40</v>
      </c>
      <c r="J1" s="44">
        <v>42</v>
      </c>
      <c r="K1" s="43">
        <v>44</v>
      </c>
      <c r="L1" s="44" t="s">
        <v>3</v>
      </c>
    </row>
    <row r="2" spans="1:13">
      <c r="A2" s="25" t="s">
        <v>5</v>
      </c>
      <c r="B2" s="25" t="s">
        <v>61</v>
      </c>
      <c r="C2" s="45">
        <v>1</v>
      </c>
      <c r="D2" s="45">
        <v>0</v>
      </c>
      <c r="E2" s="45">
        <v>0</v>
      </c>
      <c r="F2" s="45">
        <v>1</v>
      </c>
      <c r="G2" s="45">
        <v>1</v>
      </c>
      <c r="H2" s="45">
        <v>0</v>
      </c>
      <c r="I2" s="45">
        <v>0</v>
      </c>
      <c r="J2" s="45">
        <v>0</v>
      </c>
      <c r="K2" s="45">
        <v>0</v>
      </c>
      <c r="L2" s="45">
        <f t="shared" ref="L2:L27" si="0">SUM(C2:K2)</f>
        <v>3</v>
      </c>
    </row>
    <row r="3" spans="1:13">
      <c r="A3" s="25" t="s">
        <v>5</v>
      </c>
      <c r="B3" s="25" t="s">
        <v>62</v>
      </c>
      <c r="C3" s="45">
        <v>0</v>
      </c>
      <c r="D3" s="45">
        <v>1</v>
      </c>
      <c r="E3" s="45">
        <v>1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f t="shared" si="0"/>
        <v>2</v>
      </c>
    </row>
    <row r="4" spans="1:13">
      <c r="A4" s="25" t="s">
        <v>5</v>
      </c>
      <c r="B4" s="25" t="s">
        <v>63</v>
      </c>
      <c r="C4" s="45">
        <v>0</v>
      </c>
      <c r="D4" s="45">
        <v>0</v>
      </c>
      <c r="E4" s="45">
        <v>0</v>
      </c>
      <c r="F4" s="45">
        <v>1</v>
      </c>
      <c r="G4" s="45">
        <v>1</v>
      </c>
      <c r="H4" s="45">
        <v>0</v>
      </c>
      <c r="I4" s="45">
        <v>0</v>
      </c>
      <c r="J4" s="45">
        <v>0</v>
      </c>
      <c r="K4" s="45">
        <v>0</v>
      </c>
      <c r="L4" s="45">
        <f t="shared" si="0"/>
        <v>2</v>
      </c>
    </row>
    <row r="5" spans="1:13">
      <c r="A5" s="39" t="s">
        <v>5</v>
      </c>
      <c r="B5" s="39" t="s">
        <v>64</v>
      </c>
      <c r="C5" s="46">
        <v>0</v>
      </c>
      <c r="D5" s="46">
        <v>0</v>
      </c>
      <c r="E5" s="46">
        <v>1</v>
      </c>
      <c r="F5" s="46">
        <v>0</v>
      </c>
      <c r="G5" s="46">
        <v>1</v>
      </c>
      <c r="H5" s="46">
        <v>0</v>
      </c>
      <c r="I5" s="46">
        <v>0</v>
      </c>
      <c r="J5" s="46">
        <v>0</v>
      </c>
      <c r="K5" s="46">
        <v>0</v>
      </c>
      <c r="L5" s="46">
        <f t="shared" si="0"/>
        <v>2</v>
      </c>
      <c r="M5" s="47">
        <f>L2+L3+L4+L5</f>
        <v>9</v>
      </c>
    </row>
    <row r="6" spans="1:13">
      <c r="A6" s="25" t="s">
        <v>6</v>
      </c>
      <c r="B6" s="25" t="s">
        <v>61</v>
      </c>
      <c r="C6" s="45">
        <v>0</v>
      </c>
      <c r="D6" s="45">
        <v>0</v>
      </c>
      <c r="E6" s="45">
        <v>0</v>
      </c>
      <c r="F6" s="45">
        <v>0</v>
      </c>
      <c r="G6" s="45">
        <v>4</v>
      </c>
      <c r="H6" s="45">
        <v>4</v>
      </c>
      <c r="I6" s="45">
        <v>0</v>
      </c>
      <c r="J6" s="45">
        <v>0</v>
      </c>
      <c r="K6" s="45">
        <v>0</v>
      </c>
      <c r="L6" s="45">
        <f t="shared" si="0"/>
        <v>8</v>
      </c>
    </row>
    <row r="7" spans="1:13">
      <c r="A7" s="25" t="s">
        <v>6</v>
      </c>
      <c r="B7" s="25" t="s">
        <v>62</v>
      </c>
      <c r="C7" s="45">
        <v>0</v>
      </c>
      <c r="D7" s="45">
        <v>0</v>
      </c>
      <c r="E7" s="45">
        <v>0</v>
      </c>
      <c r="F7" s="45">
        <v>0</v>
      </c>
      <c r="G7" s="45">
        <v>1</v>
      </c>
      <c r="H7" s="45">
        <v>0</v>
      </c>
      <c r="I7" s="45">
        <v>0</v>
      </c>
      <c r="J7" s="45">
        <v>0</v>
      </c>
      <c r="K7" s="45">
        <v>0</v>
      </c>
      <c r="L7" s="45">
        <f t="shared" si="0"/>
        <v>1</v>
      </c>
    </row>
    <row r="8" spans="1:13">
      <c r="A8" s="39" t="s">
        <v>6</v>
      </c>
      <c r="B8" s="39" t="s">
        <v>65</v>
      </c>
      <c r="C8" s="46">
        <v>0</v>
      </c>
      <c r="D8" s="46">
        <v>0</v>
      </c>
      <c r="E8" s="46">
        <v>0</v>
      </c>
      <c r="F8" s="46">
        <v>1</v>
      </c>
      <c r="G8" s="46">
        <v>0</v>
      </c>
      <c r="H8" s="46">
        <v>1</v>
      </c>
      <c r="I8" s="46">
        <v>0</v>
      </c>
      <c r="J8" s="46">
        <v>0</v>
      </c>
      <c r="K8" s="46">
        <v>0</v>
      </c>
      <c r="L8" s="46">
        <f t="shared" si="0"/>
        <v>2</v>
      </c>
      <c r="M8" s="47">
        <f>L6+L7+L8</f>
        <v>11</v>
      </c>
    </row>
    <row r="9" spans="1:13">
      <c r="A9" s="25" t="s">
        <v>66</v>
      </c>
      <c r="B9" s="25" t="s">
        <v>61</v>
      </c>
      <c r="C9" s="45">
        <v>0</v>
      </c>
      <c r="D9" s="45">
        <v>0</v>
      </c>
      <c r="E9" s="45">
        <v>1</v>
      </c>
      <c r="F9" s="45">
        <v>0</v>
      </c>
      <c r="G9" s="45">
        <v>2</v>
      </c>
      <c r="H9" s="45">
        <v>3</v>
      </c>
      <c r="I9" s="45">
        <v>1</v>
      </c>
      <c r="J9" s="45">
        <v>1</v>
      </c>
      <c r="K9" s="45">
        <v>1</v>
      </c>
      <c r="L9" s="45">
        <f t="shared" si="0"/>
        <v>9</v>
      </c>
    </row>
    <row r="10" spans="1:13">
      <c r="A10" s="25" t="s">
        <v>66</v>
      </c>
      <c r="B10" s="25" t="s">
        <v>67</v>
      </c>
      <c r="C10" s="45">
        <v>0</v>
      </c>
      <c r="D10" s="45">
        <v>0</v>
      </c>
      <c r="E10" s="45">
        <v>1</v>
      </c>
      <c r="F10" s="45">
        <v>5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f t="shared" si="0"/>
        <v>6</v>
      </c>
    </row>
    <row r="11" spans="1:13">
      <c r="A11" s="25" t="s">
        <v>66</v>
      </c>
      <c r="B11" s="25" t="s">
        <v>68</v>
      </c>
      <c r="C11" s="45">
        <v>0</v>
      </c>
      <c r="D11" s="45">
        <v>0</v>
      </c>
      <c r="E11" s="45">
        <v>1</v>
      </c>
      <c r="F11" s="45">
        <v>0</v>
      </c>
      <c r="G11" s="45">
        <v>1</v>
      </c>
      <c r="H11" s="45">
        <v>0</v>
      </c>
      <c r="I11" s="45">
        <v>1</v>
      </c>
      <c r="J11" s="45">
        <v>1</v>
      </c>
      <c r="K11" s="45">
        <v>0</v>
      </c>
      <c r="L11" s="45">
        <f t="shared" si="0"/>
        <v>4</v>
      </c>
    </row>
    <row r="12" spans="1:13">
      <c r="A12" s="25" t="s">
        <v>66</v>
      </c>
      <c r="B12" s="25" t="s">
        <v>69</v>
      </c>
      <c r="C12" s="45">
        <v>0</v>
      </c>
      <c r="D12" s="45">
        <v>0</v>
      </c>
      <c r="E12" s="45">
        <v>1</v>
      </c>
      <c r="F12" s="45">
        <v>1</v>
      </c>
      <c r="G12" s="45">
        <v>1</v>
      </c>
      <c r="H12" s="45">
        <v>0</v>
      </c>
      <c r="I12" s="45">
        <v>0</v>
      </c>
      <c r="J12" s="45">
        <v>0</v>
      </c>
      <c r="K12" s="45">
        <v>0</v>
      </c>
      <c r="L12" s="45">
        <f t="shared" si="0"/>
        <v>3</v>
      </c>
    </row>
    <row r="13" spans="1:13">
      <c r="A13" s="25" t="s">
        <v>66</v>
      </c>
      <c r="B13" s="25" t="s">
        <v>63</v>
      </c>
      <c r="C13" s="45">
        <v>0</v>
      </c>
      <c r="D13" s="45">
        <v>0</v>
      </c>
      <c r="E13" s="45">
        <v>0</v>
      </c>
      <c r="F13" s="45">
        <v>1</v>
      </c>
      <c r="G13" s="45">
        <v>2</v>
      </c>
      <c r="H13" s="45">
        <v>2</v>
      </c>
      <c r="I13" s="45">
        <v>1</v>
      </c>
      <c r="J13" s="45">
        <v>0</v>
      </c>
      <c r="K13" s="45">
        <v>0</v>
      </c>
      <c r="L13" s="45">
        <f t="shared" si="0"/>
        <v>6</v>
      </c>
    </row>
    <row r="14" spans="1:13">
      <c r="A14" s="25" t="s">
        <v>66</v>
      </c>
      <c r="B14" s="25" t="s">
        <v>62</v>
      </c>
      <c r="C14" s="45">
        <v>0</v>
      </c>
      <c r="D14" s="45">
        <v>0</v>
      </c>
      <c r="E14" s="45">
        <v>0</v>
      </c>
      <c r="F14" s="45">
        <v>1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f t="shared" si="0"/>
        <v>1</v>
      </c>
    </row>
    <row r="15" spans="1:13">
      <c r="A15" s="25" t="s">
        <v>66</v>
      </c>
      <c r="B15" s="25" t="s">
        <v>70</v>
      </c>
      <c r="C15" s="45">
        <v>0</v>
      </c>
      <c r="D15" s="45">
        <v>0</v>
      </c>
      <c r="E15" s="45">
        <v>0</v>
      </c>
      <c r="F15" s="45">
        <v>1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f t="shared" si="0"/>
        <v>1</v>
      </c>
    </row>
    <row r="16" spans="1:13">
      <c r="A16" s="25" t="s">
        <v>66</v>
      </c>
      <c r="B16" s="25" t="s">
        <v>71</v>
      </c>
      <c r="C16" s="45">
        <v>0</v>
      </c>
      <c r="D16" s="45">
        <v>0</v>
      </c>
      <c r="E16" s="45">
        <v>0</v>
      </c>
      <c r="F16" s="45">
        <v>3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f t="shared" si="0"/>
        <v>3</v>
      </c>
    </row>
    <row r="17" spans="1:14">
      <c r="A17" s="25" t="s">
        <v>66</v>
      </c>
      <c r="B17" s="25" t="s">
        <v>65</v>
      </c>
      <c r="C17" s="45">
        <v>0</v>
      </c>
      <c r="D17" s="45">
        <v>0</v>
      </c>
      <c r="E17" s="45">
        <v>0</v>
      </c>
      <c r="F17" s="45">
        <v>0</v>
      </c>
      <c r="G17" s="45">
        <v>1</v>
      </c>
      <c r="H17" s="45">
        <v>0</v>
      </c>
      <c r="I17" s="45">
        <v>1</v>
      </c>
      <c r="J17" s="45">
        <v>0</v>
      </c>
      <c r="K17" s="45">
        <v>0</v>
      </c>
      <c r="L17" s="45">
        <f t="shared" si="0"/>
        <v>2</v>
      </c>
    </row>
    <row r="18" spans="1:14">
      <c r="A18" s="39" t="s">
        <v>66</v>
      </c>
      <c r="B18" s="39" t="s">
        <v>72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1</v>
      </c>
      <c r="L18" s="46">
        <f t="shared" si="0"/>
        <v>1</v>
      </c>
      <c r="M18" s="47">
        <f>SUM(L9:L18)</f>
        <v>36</v>
      </c>
    </row>
    <row r="19" spans="1:14">
      <c r="A19" s="25" t="s">
        <v>9</v>
      </c>
      <c r="B19" s="25" t="s">
        <v>73</v>
      </c>
      <c r="C19" s="45">
        <v>0</v>
      </c>
      <c r="D19" s="45">
        <v>1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f t="shared" si="0"/>
        <v>1</v>
      </c>
      <c r="M19" s="42">
        <f t="shared" ref="M19:M24" si="1">L19</f>
        <v>1</v>
      </c>
      <c r="N19">
        <f>M5+M8+M18+M19</f>
        <v>57</v>
      </c>
    </row>
    <row r="20" spans="1:14">
      <c r="A20" s="25" t="s">
        <v>74</v>
      </c>
      <c r="B20" s="25" t="s">
        <v>61</v>
      </c>
      <c r="C20" s="45">
        <v>0</v>
      </c>
      <c r="D20" s="45">
        <v>0</v>
      </c>
      <c r="E20" s="45">
        <v>1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f t="shared" si="0"/>
        <v>1</v>
      </c>
      <c r="M20" s="42">
        <f t="shared" si="1"/>
        <v>1</v>
      </c>
    </row>
    <row r="21" spans="1:14">
      <c r="A21" s="25" t="s">
        <v>75</v>
      </c>
      <c r="B21" s="25" t="s">
        <v>62</v>
      </c>
      <c r="C21" s="45">
        <v>0</v>
      </c>
      <c r="D21" s="45">
        <v>0</v>
      </c>
      <c r="E21" s="45">
        <v>0</v>
      </c>
      <c r="F21" s="45">
        <v>0</v>
      </c>
      <c r="G21" s="45">
        <v>1</v>
      </c>
      <c r="H21" s="45">
        <v>0</v>
      </c>
      <c r="I21" s="45">
        <v>0</v>
      </c>
      <c r="J21" s="45">
        <v>0</v>
      </c>
      <c r="K21" s="45">
        <v>0</v>
      </c>
      <c r="L21" s="45">
        <f t="shared" si="0"/>
        <v>1</v>
      </c>
      <c r="M21" s="42">
        <f t="shared" si="1"/>
        <v>1</v>
      </c>
    </row>
    <row r="22" spans="1:14">
      <c r="A22" s="25" t="s">
        <v>76</v>
      </c>
      <c r="B22" s="25" t="s">
        <v>69</v>
      </c>
      <c r="C22" s="45">
        <v>0</v>
      </c>
      <c r="D22" s="45">
        <v>0</v>
      </c>
      <c r="E22" s="45">
        <v>0</v>
      </c>
      <c r="F22" s="45">
        <v>1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f t="shared" si="0"/>
        <v>1</v>
      </c>
      <c r="M22" s="42">
        <f t="shared" si="1"/>
        <v>1</v>
      </c>
    </row>
    <row r="23" spans="1:14">
      <c r="A23" s="25" t="s">
        <v>77</v>
      </c>
      <c r="B23" s="25" t="s">
        <v>78</v>
      </c>
      <c r="C23" s="45">
        <v>1</v>
      </c>
      <c r="D23" s="45">
        <v>0</v>
      </c>
      <c r="E23" s="45">
        <v>4</v>
      </c>
      <c r="F23" s="45">
        <v>3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f t="shared" si="0"/>
        <v>8</v>
      </c>
      <c r="M23" s="42">
        <f t="shared" si="1"/>
        <v>8</v>
      </c>
    </row>
    <row r="24" spans="1:14">
      <c r="A24" s="25" t="s">
        <v>77</v>
      </c>
      <c r="B24" s="25" t="s">
        <v>61</v>
      </c>
      <c r="C24" s="45">
        <v>0</v>
      </c>
      <c r="D24" s="45">
        <v>0</v>
      </c>
      <c r="E24" s="45">
        <v>1</v>
      </c>
      <c r="F24" s="45">
        <v>2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f t="shared" si="0"/>
        <v>3</v>
      </c>
      <c r="M24" s="42">
        <f t="shared" si="1"/>
        <v>3</v>
      </c>
    </row>
    <row r="25" spans="1:14">
      <c r="A25" s="25"/>
      <c r="B25" s="25"/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f t="shared" si="0"/>
        <v>0</v>
      </c>
      <c r="N25">
        <f>L21+L22+L23+L24</f>
        <v>13</v>
      </c>
    </row>
    <row r="26" spans="1:14">
      <c r="A26" s="25"/>
      <c r="B26" s="25"/>
      <c r="C26" s="48">
        <f t="shared" ref="C26:L26" si="2">SUM(C2:C25)</f>
        <v>2</v>
      </c>
      <c r="D26" s="48">
        <f t="shared" si="2"/>
        <v>2</v>
      </c>
      <c r="E26" s="48">
        <f t="shared" si="2"/>
        <v>12</v>
      </c>
      <c r="F26" s="48">
        <f t="shared" si="2"/>
        <v>21</v>
      </c>
      <c r="G26" s="48">
        <f t="shared" si="2"/>
        <v>16</v>
      </c>
      <c r="H26" s="48">
        <f t="shared" si="2"/>
        <v>10</v>
      </c>
      <c r="I26" s="48">
        <f t="shared" si="2"/>
        <v>4</v>
      </c>
      <c r="J26" s="48">
        <f t="shared" si="2"/>
        <v>2</v>
      </c>
      <c r="K26" s="48">
        <f t="shared" si="2"/>
        <v>2</v>
      </c>
      <c r="L26" s="48">
        <f t="shared" si="2"/>
        <v>71</v>
      </c>
    </row>
    <row r="31" spans="1:14">
      <c r="A31" s="25" t="s">
        <v>1</v>
      </c>
      <c r="B31" s="3" t="s">
        <v>60</v>
      </c>
      <c r="C31" s="2">
        <v>6</v>
      </c>
      <c r="D31" s="2">
        <v>8</v>
      </c>
      <c r="E31" s="2">
        <v>10</v>
      </c>
      <c r="F31" s="2">
        <v>12</v>
      </c>
      <c r="G31" s="4">
        <v>14</v>
      </c>
      <c r="H31" s="4">
        <v>16</v>
      </c>
      <c r="I31" s="4" t="s">
        <v>3</v>
      </c>
      <c r="J31" s="21"/>
      <c r="K31" s="49"/>
    </row>
    <row r="32" spans="1:14">
      <c r="A32" s="25" t="s">
        <v>79</v>
      </c>
      <c r="B32" s="25" t="s">
        <v>70</v>
      </c>
      <c r="C32" s="20">
        <v>1</v>
      </c>
      <c r="D32" s="20">
        <v>0</v>
      </c>
      <c r="E32" s="20">
        <v>1</v>
      </c>
      <c r="F32" s="20">
        <v>0</v>
      </c>
      <c r="G32" s="20">
        <v>0</v>
      </c>
      <c r="H32" s="20">
        <v>1</v>
      </c>
      <c r="I32" s="20">
        <f t="shared" ref="I32:I36" si="3">SUM(C32:H32)</f>
        <v>3</v>
      </c>
      <c r="J32" s="21"/>
      <c r="K32" s="50"/>
    </row>
    <row r="33" spans="1:11">
      <c r="A33" s="25" t="s">
        <v>79</v>
      </c>
      <c r="B33" s="25" t="s">
        <v>80</v>
      </c>
      <c r="C33" s="20">
        <v>0</v>
      </c>
      <c r="D33" s="20">
        <v>0</v>
      </c>
      <c r="E33" s="20">
        <v>0</v>
      </c>
      <c r="F33" s="20">
        <v>1</v>
      </c>
      <c r="G33" s="20">
        <v>0</v>
      </c>
      <c r="H33" s="20">
        <v>0</v>
      </c>
      <c r="I33" s="20">
        <f t="shared" si="3"/>
        <v>1</v>
      </c>
      <c r="J33" s="21"/>
      <c r="K33" s="50"/>
    </row>
    <row r="34" spans="1:11">
      <c r="A34" s="25" t="s">
        <v>79</v>
      </c>
      <c r="B34" s="25" t="s">
        <v>63</v>
      </c>
      <c r="C34" s="20">
        <v>1</v>
      </c>
      <c r="D34" s="20">
        <v>0</v>
      </c>
      <c r="E34" s="20">
        <v>0</v>
      </c>
      <c r="F34" s="20">
        <v>1</v>
      </c>
      <c r="G34" s="20">
        <v>1</v>
      </c>
      <c r="H34" s="20">
        <v>0</v>
      </c>
      <c r="I34" s="20">
        <f t="shared" si="3"/>
        <v>3</v>
      </c>
      <c r="J34" s="21"/>
      <c r="K34" s="50"/>
    </row>
    <row r="35" spans="1:11">
      <c r="A35" s="25" t="s">
        <v>79</v>
      </c>
      <c r="B35" s="27" t="s">
        <v>67</v>
      </c>
      <c r="C35" s="7">
        <v>0</v>
      </c>
      <c r="D35" s="20">
        <v>0</v>
      </c>
      <c r="E35" s="20">
        <v>0</v>
      </c>
      <c r="F35" s="20">
        <v>0</v>
      </c>
      <c r="G35" s="20">
        <v>0</v>
      </c>
      <c r="H35" s="20">
        <v>1</v>
      </c>
      <c r="I35" s="20">
        <f t="shared" si="3"/>
        <v>1</v>
      </c>
      <c r="J35" s="15"/>
      <c r="K35" s="50"/>
    </row>
    <row r="36" spans="1:11">
      <c r="A36" s="25" t="s">
        <v>79</v>
      </c>
      <c r="B36" s="39" t="s">
        <v>62</v>
      </c>
      <c r="C36" s="22">
        <v>0</v>
      </c>
      <c r="D36" s="22">
        <v>0</v>
      </c>
      <c r="E36" s="22">
        <v>0</v>
      </c>
      <c r="F36" s="22">
        <v>1</v>
      </c>
      <c r="G36" s="22">
        <v>0</v>
      </c>
      <c r="H36" s="22">
        <v>1</v>
      </c>
      <c r="I36" s="22">
        <f t="shared" si="3"/>
        <v>2</v>
      </c>
      <c r="J36" s="23">
        <f>I32+I33+I34+I35+I36</f>
        <v>10</v>
      </c>
      <c r="K36" s="50"/>
    </row>
    <row r="37" spans="1:11">
      <c r="A37" s="25"/>
      <c r="B37" s="25"/>
      <c r="C37" s="28">
        <f t="shared" ref="C37:I37" si="4">SUM(C32:C36)</f>
        <v>2</v>
      </c>
      <c r="D37" s="28">
        <f t="shared" si="4"/>
        <v>0</v>
      </c>
      <c r="E37" s="28">
        <f t="shared" si="4"/>
        <v>1</v>
      </c>
      <c r="F37" s="28">
        <f t="shared" si="4"/>
        <v>3</v>
      </c>
      <c r="G37" s="28">
        <f t="shared" si="4"/>
        <v>1</v>
      </c>
      <c r="H37" s="28">
        <f t="shared" si="4"/>
        <v>3</v>
      </c>
      <c r="I37" s="28">
        <f t="shared" si="4"/>
        <v>10</v>
      </c>
      <c r="J37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2" sqref="A2:B11"/>
    </sheetView>
  </sheetViews>
  <sheetFormatPr defaultColWidth="9.14285714285714" defaultRowHeight="15"/>
  <cols>
    <col min="1" max="2" width="14.5714285714286" customWidth="1"/>
    <col min="3" max="3" width="19.5714285714286" customWidth="1"/>
    <col min="4" max="4" width="19.4285714285714" customWidth="1"/>
    <col min="5" max="8" width="11"/>
    <col min="9" max="9" width="12.7142857142857" customWidth="1"/>
    <col min="10" max="11" width="11"/>
  </cols>
  <sheetData>
    <row r="1" spans="1:11">
      <c r="A1" t="s">
        <v>0</v>
      </c>
      <c r="B1" s="29" t="s">
        <v>1</v>
      </c>
      <c r="C1" s="29" t="s">
        <v>2</v>
      </c>
      <c r="D1" s="30" t="s">
        <v>60</v>
      </c>
      <c r="E1" s="29">
        <v>30</v>
      </c>
      <c r="F1" s="29">
        <v>32</v>
      </c>
      <c r="G1" s="29">
        <v>34</v>
      </c>
      <c r="H1" s="41">
        <v>36</v>
      </c>
      <c r="I1" s="41">
        <v>38</v>
      </c>
      <c r="J1" s="41" t="s">
        <v>3</v>
      </c>
      <c r="K1" s="5"/>
    </row>
    <row r="2" spans="1:11">
      <c r="A2" s="20" t="s">
        <v>17</v>
      </c>
      <c r="B2" s="20">
        <v>2500</v>
      </c>
      <c r="C2" s="25" t="s">
        <v>81</v>
      </c>
      <c r="D2" s="25" t="s">
        <v>80</v>
      </c>
      <c r="E2" s="25">
        <v>0</v>
      </c>
      <c r="F2" s="25">
        <v>1</v>
      </c>
      <c r="G2" s="25">
        <v>0</v>
      </c>
      <c r="H2" s="25">
        <v>1</v>
      </c>
      <c r="I2" s="25">
        <v>0</v>
      </c>
      <c r="J2" s="25">
        <f t="shared" ref="J2:J11" si="0">SUM(E2:I2)</f>
        <v>2</v>
      </c>
    </row>
    <row r="3" spans="1:11">
      <c r="A3" s="20" t="s">
        <v>17</v>
      </c>
      <c r="B3" s="20">
        <v>2500</v>
      </c>
      <c r="C3" s="25" t="s">
        <v>81</v>
      </c>
      <c r="D3" s="25" t="s">
        <v>61</v>
      </c>
      <c r="E3" s="25">
        <v>0</v>
      </c>
      <c r="F3" s="25">
        <v>1</v>
      </c>
      <c r="G3" s="25">
        <v>0</v>
      </c>
      <c r="H3" s="25">
        <v>1</v>
      </c>
      <c r="I3" s="25">
        <v>0</v>
      </c>
      <c r="J3" s="25">
        <f t="shared" si="0"/>
        <v>2</v>
      </c>
    </row>
    <row r="4" spans="1:11">
      <c r="A4" s="20" t="s">
        <v>17</v>
      </c>
      <c r="B4" s="20">
        <v>2500</v>
      </c>
      <c r="C4" s="25" t="s">
        <v>81</v>
      </c>
      <c r="D4" s="25" t="s">
        <v>62</v>
      </c>
      <c r="E4" s="25">
        <v>0</v>
      </c>
      <c r="F4" s="25">
        <v>2</v>
      </c>
      <c r="G4" s="25">
        <v>2</v>
      </c>
      <c r="H4" s="25">
        <v>2</v>
      </c>
      <c r="I4" s="25">
        <v>1</v>
      </c>
      <c r="J4" s="25">
        <f t="shared" si="0"/>
        <v>7</v>
      </c>
    </row>
    <row r="5" spans="1:11">
      <c r="A5" s="20" t="s">
        <v>17</v>
      </c>
      <c r="B5" s="20">
        <v>2500</v>
      </c>
      <c r="C5" s="25" t="s">
        <v>81</v>
      </c>
      <c r="D5" s="25" t="s">
        <v>82</v>
      </c>
      <c r="E5" s="25">
        <v>0</v>
      </c>
      <c r="F5" s="25">
        <v>1</v>
      </c>
      <c r="G5" s="25">
        <v>1</v>
      </c>
      <c r="H5" s="25">
        <v>1</v>
      </c>
      <c r="I5" s="25">
        <v>0</v>
      </c>
      <c r="J5" s="25">
        <f t="shared" si="0"/>
        <v>3</v>
      </c>
    </row>
    <row r="6" spans="1:11">
      <c r="A6" s="20" t="s">
        <v>17</v>
      </c>
      <c r="B6" s="20">
        <v>2500</v>
      </c>
      <c r="C6" s="25" t="s">
        <v>81</v>
      </c>
      <c r="D6" s="25" t="s">
        <v>83</v>
      </c>
      <c r="E6" s="25">
        <v>0</v>
      </c>
      <c r="F6" s="25">
        <v>0</v>
      </c>
      <c r="G6" s="25">
        <v>1</v>
      </c>
      <c r="H6" s="25">
        <v>1</v>
      </c>
      <c r="I6" s="25">
        <v>0</v>
      </c>
      <c r="J6" s="25">
        <f t="shared" si="0"/>
        <v>2</v>
      </c>
      <c r="K6">
        <f>J2+J3+J4+J5+J6</f>
        <v>16</v>
      </c>
    </row>
    <row r="7" spans="1:11">
      <c r="A7" s="20" t="s">
        <v>19</v>
      </c>
      <c r="B7" s="20"/>
      <c r="C7" s="25" t="s">
        <v>20</v>
      </c>
      <c r="D7" s="25" t="s">
        <v>61</v>
      </c>
      <c r="E7" s="25">
        <v>0</v>
      </c>
      <c r="F7" s="25">
        <v>2</v>
      </c>
      <c r="G7" s="25">
        <v>0</v>
      </c>
      <c r="H7" s="25">
        <v>1</v>
      </c>
      <c r="I7" s="25">
        <v>1</v>
      </c>
      <c r="J7" s="25">
        <f t="shared" si="0"/>
        <v>4</v>
      </c>
    </row>
    <row r="8" spans="1:11">
      <c r="A8" s="20" t="s">
        <v>19</v>
      </c>
      <c r="B8" s="20"/>
      <c r="C8" s="25" t="s">
        <v>20</v>
      </c>
      <c r="D8" s="25" t="s">
        <v>62</v>
      </c>
      <c r="E8" s="25">
        <v>0</v>
      </c>
      <c r="F8" s="25">
        <v>1</v>
      </c>
      <c r="G8" s="25">
        <v>3</v>
      </c>
      <c r="H8" s="25">
        <v>2</v>
      </c>
      <c r="I8" s="25">
        <v>2</v>
      </c>
      <c r="J8" s="25">
        <f t="shared" si="0"/>
        <v>8</v>
      </c>
    </row>
    <row r="9" spans="1:11">
      <c r="A9" s="20" t="s">
        <v>19</v>
      </c>
      <c r="B9" s="20"/>
      <c r="C9" s="25" t="s">
        <v>20</v>
      </c>
      <c r="D9" s="25" t="s">
        <v>69</v>
      </c>
      <c r="E9" s="25">
        <v>0</v>
      </c>
      <c r="F9" s="25">
        <v>1</v>
      </c>
      <c r="G9" s="25">
        <v>1</v>
      </c>
      <c r="H9" s="25">
        <v>1</v>
      </c>
      <c r="I9" s="25">
        <v>1</v>
      </c>
      <c r="J9" s="25">
        <f t="shared" si="0"/>
        <v>4</v>
      </c>
    </row>
    <row r="10" spans="1:11">
      <c r="A10" s="20" t="s">
        <v>19</v>
      </c>
      <c r="B10" s="20"/>
      <c r="C10" s="25" t="s">
        <v>20</v>
      </c>
      <c r="D10" s="25" t="s">
        <v>80</v>
      </c>
      <c r="E10" s="25">
        <v>0</v>
      </c>
      <c r="F10" s="25">
        <v>1</v>
      </c>
      <c r="G10" s="25">
        <v>2</v>
      </c>
      <c r="H10" s="25">
        <v>0</v>
      </c>
      <c r="I10" s="25">
        <v>0</v>
      </c>
      <c r="J10" s="25">
        <f t="shared" si="0"/>
        <v>3</v>
      </c>
    </row>
    <row r="11" spans="1:11">
      <c r="A11" s="20" t="s">
        <v>19</v>
      </c>
      <c r="B11" s="20"/>
      <c r="C11" s="25" t="s">
        <v>20</v>
      </c>
      <c r="D11" s="25" t="s">
        <v>72</v>
      </c>
      <c r="E11" s="25">
        <v>0</v>
      </c>
      <c r="F11" s="25">
        <v>0</v>
      </c>
      <c r="G11" s="25">
        <v>1</v>
      </c>
      <c r="H11" s="25">
        <v>0</v>
      </c>
      <c r="I11" s="25">
        <v>0</v>
      </c>
      <c r="J11" s="25">
        <f t="shared" si="0"/>
        <v>1</v>
      </c>
      <c r="K11">
        <f>J7+J8+J9+J10+J11</f>
        <v>20</v>
      </c>
    </row>
    <row r="12" spans="1:11">
      <c r="E12" s="28">
        <f t="shared" ref="E12:J12" si="1">SUM(E2:E11)</f>
        <v>0</v>
      </c>
      <c r="F12" s="28">
        <f t="shared" si="1"/>
        <v>10</v>
      </c>
      <c r="G12" s="28">
        <f t="shared" si="1"/>
        <v>11</v>
      </c>
      <c r="H12" s="28">
        <f t="shared" si="1"/>
        <v>10</v>
      </c>
      <c r="I12" s="28">
        <f t="shared" si="1"/>
        <v>5</v>
      </c>
      <c r="J12" s="28">
        <f t="shared" si="1"/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workbookViewId="0">
      <selection activeCell="A18" sqref="A18"/>
    </sheetView>
  </sheetViews>
  <sheetFormatPr defaultColWidth="9.14285714285714" defaultRowHeight="15"/>
  <cols>
    <col min="1" max="1" width="19.7142857142857" customWidth="1"/>
    <col min="2" max="3" width="19.5714285714286" customWidth="1"/>
    <col min="4" max="5" width="19.4285714285714" customWidth="1"/>
    <col min="6" max="9" width="11"/>
    <col min="10" max="10" width="12.7142857142857" customWidth="1"/>
    <col min="11" max="11" width="13.7142857142857" customWidth="1"/>
    <col min="12" max="14" width="11"/>
    <col min="15" max="15" width="13.4285714285714" customWidth="1"/>
    <col min="16" max="17" width="11"/>
  </cols>
  <sheetData>
    <row r="1" spans="1:17">
      <c r="A1" s="25" t="s">
        <v>0</v>
      </c>
      <c r="B1" s="2" t="s">
        <v>1</v>
      </c>
      <c r="C1" s="2" t="s">
        <v>2</v>
      </c>
      <c r="D1" s="3" t="s">
        <v>60</v>
      </c>
      <c r="E1" s="2">
        <v>28</v>
      </c>
      <c r="F1" s="2">
        <v>30</v>
      </c>
      <c r="G1" s="2">
        <v>32</v>
      </c>
      <c r="H1" s="2">
        <v>34</v>
      </c>
      <c r="I1" s="4">
        <v>36</v>
      </c>
      <c r="J1" s="4">
        <v>38</v>
      </c>
      <c r="K1" s="4">
        <v>40</v>
      </c>
      <c r="L1" s="4">
        <v>42</v>
      </c>
      <c r="M1" s="2">
        <v>44</v>
      </c>
      <c r="N1" s="2">
        <v>46</v>
      </c>
      <c r="O1" s="2">
        <v>48</v>
      </c>
      <c r="P1" s="4" t="s">
        <v>3</v>
      </c>
      <c r="Q1" s="5"/>
    </row>
    <row r="2" spans="1:17">
      <c r="A2" s="25"/>
      <c r="B2" s="31">
        <v>3000</v>
      </c>
      <c r="C2" s="31" t="s">
        <v>84</v>
      </c>
      <c r="D2" s="37" t="s">
        <v>85</v>
      </c>
      <c r="E2" s="31">
        <v>0</v>
      </c>
      <c r="F2" s="31">
        <v>0</v>
      </c>
      <c r="G2" s="31">
        <v>0</v>
      </c>
      <c r="H2" s="31">
        <v>0</v>
      </c>
      <c r="I2" s="38">
        <v>0</v>
      </c>
      <c r="J2" s="38">
        <v>2</v>
      </c>
      <c r="K2" s="38">
        <v>1</v>
      </c>
      <c r="L2" s="38"/>
      <c r="M2" s="31"/>
      <c r="N2" s="31"/>
      <c r="O2" s="31"/>
      <c r="P2" s="39">
        <f t="shared" ref="P2:P15" si="0">SUM(E2:O2)</f>
        <v>3</v>
      </c>
      <c r="Q2" s="39">
        <f>P2</f>
        <v>3</v>
      </c>
    </row>
    <row r="3" spans="1:17">
      <c r="A3" s="25"/>
      <c r="B3" s="2">
        <v>3000</v>
      </c>
      <c r="C3" s="2" t="s">
        <v>84</v>
      </c>
      <c r="D3" s="3" t="s">
        <v>86</v>
      </c>
      <c r="E3" s="2">
        <v>0</v>
      </c>
      <c r="F3" s="2">
        <v>0</v>
      </c>
      <c r="G3" s="2">
        <v>0</v>
      </c>
      <c r="H3" s="2">
        <v>1</v>
      </c>
      <c r="I3" s="4">
        <v>0</v>
      </c>
      <c r="J3" s="4">
        <v>1</v>
      </c>
      <c r="K3" s="4">
        <v>0</v>
      </c>
      <c r="L3" s="2">
        <v>0</v>
      </c>
      <c r="M3" s="2">
        <v>0</v>
      </c>
      <c r="N3" s="2">
        <v>0</v>
      </c>
      <c r="O3" s="2">
        <v>0</v>
      </c>
      <c r="P3" s="25">
        <f t="shared" si="0"/>
        <v>2</v>
      </c>
      <c r="Q3" s="8"/>
    </row>
    <row r="4" spans="1:17">
      <c r="A4" s="25"/>
      <c r="B4" s="2">
        <v>3000</v>
      </c>
      <c r="C4" s="2" t="s">
        <v>84</v>
      </c>
      <c r="D4" s="3" t="s">
        <v>80</v>
      </c>
      <c r="E4" s="2">
        <v>0</v>
      </c>
      <c r="F4" s="2">
        <v>0</v>
      </c>
      <c r="G4" s="2">
        <v>0</v>
      </c>
      <c r="H4" s="2">
        <v>1</v>
      </c>
      <c r="I4" s="4">
        <v>1</v>
      </c>
      <c r="J4" s="4">
        <v>0</v>
      </c>
      <c r="K4" s="4">
        <v>0</v>
      </c>
      <c r="L4" s="2">
        <v>0</v>
      </c>
      <c r="M4" s="2">
        <v>0</v>
      </c>
      <c r="N4" s="2">
        <v>0</v>
      </c>
      <c r="O4" s="2">
        <v>0</v>
      </c>
      <c r="P4" s="25">
        <f t="shared" si="0"/>
        <v>2</v>
      </c>
      <c r="Q4" s="8"/>
    </row>
    <row r="5" spans="1:17">
      <c r="A5" s="25"/>
      <c r="B5" s="2">
        <v>3000</v>
      </c>
      <c r="C5" s="2" t="s">
        <v>84</v>
      </c>
      <c r="D5" s="3" t="s">
        <v>61</v>
      </c>
      <c r="E5" s="2">
        <v>0</v>
      </c>
      <c r="F5" s="2">
        <v>0</v>
      </c>
      <c r="G5" s="2">
        <v>0</v>
      </c>
      <c r="H5" s="2">
        <v>0</v>
      </c>
      <c r="I5" s="4">
        <v>2</v>
      </c>
      <c r="J5" s="4">
        <v>0</v>
      </c>
      <c r="K5" s="4">
        <v>0</v>
      </c>
      <c r="L5" s="2">
        <v>0</v>
      </c>
      <c r="M5" s="2">
        <v>0</v>
      </c>
      <c r="N5" s="2">
        <v>0</v>
      </c>
      <c r="O5" s="2">
        <v>0</v>
      </c>
      <c r="P5" s="25">
        <f t="shared" si="0"/>
        <v>2</v>
      </c>
      <c r="Q5" s="8"/>
    </row>
    <row r="6" spans="1:17">
      <c r="A6" s="25"/>
      <c r="B6" s="2">
        <v>3000</v>
      </c>
      <c r="C6" s="2" t="s">
        <v>84</v>
      </c>
      <c r="D6" s="3" t="s">
        <v>62</v>
      </c>
      <c r="E6" s="2">
        <v>0</v>
      </c>
      <c r="F6" s="2">
        <v>0</v>
      </c>
      <c r="G6" s="2">
        <v>0</v>
      </c>
      <c r="H6" s="2">
        <v>1</v>
      </c>
      <c r="I6" s="4">
        <v>1</v>
      </c>
      <c r="J6" s="4">
        <v>1</v>
      </c>
      <c r="K6" s="4">
        <v>2</v>
      </c>
      <c r="L6" s="2">
        <v>0</v>
      </c>
      <c r="M6" s="2">
        <v>0</v>
      </c>
      <c r="N6" s="2">
        <v>0</v>
      </c>
      <c r="O6" s="2">
        <v>0</v>
      </c>
      <c r="P6" s="25">
        <f t="shared" si="0"/>
        <v>5</v>
      </c>
      <c r="Q6" s="8"/>
    </row>
    <row r="7" spans="1:17">
      <c r="A7" s="25"/>
      <c r="B7" s="2">
        <v>3000</v>
      </c>
      <c r="C7" s="2" t="s">
        <v>84</v>
      </c>
      <c r="D7" s="3" t="s">
        <v>87</v>
      </c>
      <c r="E7" s="2">
        <v>0</v>
      </c>
      <c r="F7" s="2">
        <v>0</v>
      </c>
      <c r="G7" s="2">
        <v>0</v>
      </c>
      <c r="H7" s="2">
        <v>1</v>
      </c>
      <c r="I7" s="4">
        <v>1</v>
      </c>
      <c r="J7" s="4">
        <v>0</v>
      </c>
      <c r="K7" s="4">
        <v>1</v>
      </c>
      <c r="L7" s="2">
        <v>0</v>
      </c>
      <c r="M7" s="2">
        <v>0</v>
      </c>
      <c r="N7" s="2">
        <v>0</v>
      </c>
      <c r="O7" s="2">
        <v>0</v>
      </c>
      <c r="P7" s="25">
        <f t="shared" si="0"/>
        <v>3</v>
      </c>
      <c r="Q7" s="8"/>
    </row>
    <row r="8" spans="1:17">
      <c r="A8" s="25"/>
      <c r="B8" s="2">
        <v>3000</v>
      </c>
      <c r="C8" s="2" t="s">
        <v>84</v>
      </c>
      <c r="D8" s="3" t="s">
        <v>78</v>
      </c>
      <c r="E8" s="2">
        <v>0</v>
      </c>
      <c r="F8" s="2">
        <v>0</v>
      </c>
      <c r="G8" s="2">
        <v>0</v>
      </c>
      <c r="H8" s="2">
        <v>1</v>
      </c>
      <c r="I8" s="4">
        <v>1</v>
      </c>
      <c r="J8" s="4">
        <v>0</v>
      </c>
      <c r="K8" s="4">
        <v>0</v>
      </c>
      <c r="L8" s="2">
        <v>0</v>
      </c>
      <c r="M8" s="2">
        <v>0</v>
      </c>
      <c r="N8" s="2">
        <v>0</v>
      </c>
      <c r="O8" s="2">
        <v>0</v>
      </c>
      <c r="P8" s="25">
        <f t="shared" si="0"/>
        <v>2</v>
      </c>
      <c r="Q8" s="8"/>
    </row>
    <row r="9" spans="1:17">
      <c r="A9" s="25"/>
      <c r="B9" s="2">
        <v>3000</v>
      </c>
      <c r="C9" s="2" t="s">
        <v>84</v>
      </c>
      <c r="D9" s="3" t="s">
        <v>71</v>
      </c>
      <c r="E9" s="2">
        <v>0</v>
      </c>
      <c r="F9" s="2">
        <v>0</v>
      </c>
      <c r="G9" s="2">
        <v>0</v>
      </c>
      <c r="H9" s="2">
        <v>1</v>
      </c>
      <c r="I9" s="4">
        <v>1</v>
      </c>
      <c r="J9" s="4">
        <v>1</v>
      </c>
      <c r="K9" s="4">
        <v>1</v>
      </c>
      <c r="L9" s="2">
        <v>0</v>
      </c>
      <c r="M9" s="2">
        <v>0</v>
      </c>
      <c r="N9" s="2">
        <v>0</v>
      </c>
      <c r="O9" s="2">
        <v>0</v>
      </c>
      <c r="P9" s="25">
        <f t="shared" si="0"/>
        <v>4</v>
      </c>
      <c r="Q9" s="8"/>
    </row>
    <row r="10" spans="1:17">
      <c r="A10" s="25"/>
      <c r="B10" s="2">
        <v>3000</v>
      </c>
      <c r="C10" s="2" t="s">
        <v>84</v>
      </c>
      <c r="D10" s="3" t="s">
        <v>88</v>
      </c>
      <c r="E10" s="2">
        <v>0</v>
      </c>
      <c r="F10" s="2">
        <v>0</v>
      </c>
      <c r="G10" s="2">
        <v>0</v>
      </c>
      <c r="H10" s="2">
        <v>1</v>
      </c>
      <c r="I10" s="4">
        <v>1</v>
      </c>
      <c r="J10" s="4">
        <v>1</v>
      </c>
      <c r="K10" s="4">
        <v>1</v>
      </c>
      <c r="L10" s="2">
        <v>0</v>
      </c>
      <c r="M10" s="2">
        <v>0</v>
      </c>
      <c r="N10" s="2">
        <v>0</v>
      </c>
      <c r="O10" s="2">
        <v>0</v>
      </c>
      <c r="P10" s="25">
        <f t="shared" si="0"/>
        <v>4</v>
      </c>
      <c r="Q10" s="8"/>
    </row>
    <row r="11" spans="1:17">
      <c r="A11" s="25"/>
      <c r="B11" s="2">
        <v>3000</v>
      </c>
      <c r="C11" s="2" t="s">
        <v>84</v>
      </c>
      <c r="D11" s="3" t="s">
        <v>89</v>
      </c>
      <c r="E11" s="2">
        <v>0</v>
      </c>
      <c r="F11" s="2">
        <v>0</v>
      </c>
      <c r="G11" s="2">
        <v>0</v>
      </c>
      <c r="H11" s="2">
        <v>1</v>
      </c>
      <c r="I11" s="4">
        <v>1</v>
      </c>
      <c r="J11" s="4">
        <v>0</v>
      </c>
      <c r="K11" s="4">
        <v>0</v>
      </c>
      <c r="L11" s="2">
        <v>0</v>
      </c>
      <c r="M11" s="2">
        <v>0</v>
      </c>
      <c r="N11" s="2">
        <v>0</v>
      </c>
      <c r="O11" s="2">
        <v>0</v>
      </c>
      <c r="P11" s="25">
        <f t="shared" si="0"/>
        <v>2</v>
      </c>
      <c r="Q11" s="8"/>
    </row>
    <row r="12" spans="1:17">
      <c r="A12" s="25"/>
      <c r="B12" s="2">
        <v>3000</v>
      </c>
      <c r="C12" s="2" t="s">
        <v>84</v>
      </c>
      <c r="D12" s="3" t="s">
        <v>70</v>
      </c>
      <c r="E12" s="2">
        <v>0</v>
      </c>
      <c r="F12" s="2">
        <v>0</v>
      </c>
      <c r="G12" s="2">
        <v>0</v>
      </c>
      <c r="H12" s="2">
        <v>1</v>
      </c>
      <c r="I12" s="4">
        <v>0</v>
      </c>
      <c r="J12" s="4">
        <v>0</v>
      </c>
      <c r="K12" s="4">
        <v>1</v>
      </c>
      <c r="L12" s="2">
        <v>0</v>
      </c>
      <c r="M12" s="2">
        <v>0</v>
      </c>
      <c r="N12" s="2">
        <v>0</v>
      </c>
      <c r="O12" s="2">
        <v>0</v>
      </c>
      <c r="P12" s="25">
        <f t="shared" si="0"/>
        <v>2</v>
      </c>
      <c r="Q12" s="8"/>
    </row>
    <row r="13" spans="1:17">
      <c r="A13" s="25"/>
      <c r="B13" s="31">
        <v>3000</v>
      </c>
      <c r="C13" s="31" t="s">
        <v>84</v>
      </c>
      <c r="D13" s="37" t="s">
        <v>90</v>
      </c>
      <c r="E13" s="31">
        <v>0</v>
      </c>
      <c r="F13" s="31">
        <v>0</v>
      </c>
      <c r="G13" s="31">
        <v>0</v>
      </c>
      <c r="H13" s="31">
        <v>1</v>
      </c>
      <c r="I13" s="38">
        <v>0</v>
      </c>
      <c r="J13" s="38">
        <v>0</v>
      </c>
      <c r="K13" s="38">
        <v>0</v>
      </c>
      <c r="L13" s="31">
        <v>0</v>
      </c>
      <c r="M13" s="31">
        <v>0</v>
      </c>
      <c r="N13" s="31">
        <v>0</v>
      </c>
      <c r="O13" s="31">
        <v>0</v>
      </c>
      <c r="P13" s="39">
        <f t="shared" si="0"/>
        <v>1</v>
      </c>
      <c r="Q13" s="32">
        <f>SUM(P3:P13)</f>
        <v>29</v>
      </c>
    </row>
    <row r="14" spans="1:17">
      <c r="A14" s="25"/>
      <c r="B14" s="39">
        <v>4029</v>
      </c>
      <c r="C14" s="39" t="s">
        <v>91</v>
      </c>
      <c r="D14" s="39" t="s">
        <v>92</v>
      </c>
      <c r="E14" s="31">
        <v>0</v>
      </c>
      <c r="F14" s="31">
        <v>0</v>
      </c>
      <c r="G14" s="31">
        <v>0</v>
      </c>
      <c r="H14" s="22">
        <v>2</v>
      </c>
      <c r="I14" s="22">
        <v>2</v>
      </c>
      <c r="J14" s="22">
        <v>2</v>
      </c>
      <c r="K14" s="22">
        <v>0</v>
      </c>
      <c r="L14" s="31">
        <v>0</v>
      </c>
      <c r="M14" s="31">
        <v>0</v>
      </c>
      <c r="N14" s="31">
        <v>0</v>
      </c>
      <c r="O14" s="31">
        <v>0</v>
      </c>
      <c r="P14" s="39">
        <f t="shared" si="0"/>
        <v>6</v>
      </c>
      <c r="Q14" s="40">
        <f>P14</f>
        <v>6</v>
      </c>
    </row>
    <row r="15" spans="1:17">
      <c r="A15" s="25"/>
      <c r="B15" s="25"/>
      <c r="C15" s="25"/>
      <c r="D15" s="25"/>
      <c r="E15" s="2">
        <v>0</v>
      </c>
      <c r="F15" s="2">
        <v>0</v>
      </c>
      <c r="G15" s="2">
        <v>0</v>
      </c>
      <c r="H15" s="2">
        <v>0</v>
      </c>
      <c r="I15" s="4">
        <v>0</v>
      </c>
      <c r="J15" s="4">
        <v>0</v>
      </c>
      <c r="K15" s="4">
        <v>0</v>
      </c>
      <c r="L15" s="2">
        <v>0</v>
      </c>
      <c r="M15" s="2">
        <v>0</v>
      </c>
      <c r="N15" s="2">
        <v>0</v>
      </c>
      <c r="O15" s="2">
        <v>0</v>
      </c>
      <c r="P15" s="25">
        <f t="shared" si="0"/>
        <v>0</v>
      </c>
    </row>
    <row r="16" spans="1:17">
      <c r="E16" s="28">
        <f t="shared" ref="E16:P16" si="1">SUM(E2:E15)</f>
        <v>0</v>
      </c>
      <c r="F16" s="28">
        <f t="shared" si="1"/>
        <v>0</v>
      </c>
      <c r="G16" s="28">
        <f t="shared" si="1"/>
        <v>0</v>
      </c>
      <c r="H16" s="28">
        <f t="shared" si="1"/>
        <v>12</v>
      </c>
      <c r="I16" s="28">
        <f t="shared" si="1"/>
        <v>11</v>
      </c>
      <c r="J16" s="28">
        <f t="shared" si="1"/>
        <v>8</v>
      </c>
      <c r="K16" s="28">
        <f t="shared" si="1"/>
        <v>7</v>
      </c>
      <c r="L16" s="28">
        <f t="shared" si="1"/>
        <v>0</v>
      </c>
      <c r="M16" s="28">
        <f t="shared" si="1"/>
        <v>0</v>
      </c>
      <c r="N16" s="28">
        <f t="shared" si="1"/>
        <v>0</v>
      </c>
      <c r="O16" s="28">
        <f t="shared" si="1"/>
        <v>0</v>
      </c>
      <c r="P16" s="28">
        <f t="shared" si="1"/>
        <v>38</v>
      </c>
    </row>
    <row r="35" spans="2:8">
      <c r="B35" s="29" t="s">
        <v>1</v>
      </c>
      <c r="C35" s="29"/>
      <c r="D35" s="30" t="s">
        <v>60</v>
      </c>
      <c r="E35" s="29" t="s">
        <v>93</v>
      </c>
      <c r="F35" s="29" t="s">
        <v>94</v>
      </c>
      <c r="G35" s="29" t="s">
        <v>95</v>
      </c>
      <c r="H35" s="29" t="s">
        <v>3</v>
      </c>
    </row>
    <row r="36" spans="2:8">
      <c r="B36" s="2" t="s">
        <v>96</v>
      </c>
      <c r="C36" s="2"/>
      <c r="D36" s="2" t="s">
        <v>61</v>
      </c>
      <c r="E36" s="2">
        <v>0</v>
      </c>
      <c r="F36" s="2">
        <v>3</v>
      </c>
      <c r="G36" s="2">
        <v>4</v>
      </c>
      <c r="H36" s="2">
        <f t="shared" ref="H36:H39" si="2">SUM(E36:G36)</f>
        <v>7</v>
      </c>
    </row>
    <row r="37" spans="2:8">
      <c r="B37" s="2" t="s">
        <v>96</v>
      </c>
      <c r="C37" s="2"/>
      <c r="D37" s="2" t="s">
        <v>87</v>
      </c>
      <c r="E37" s="2">
        <v>0</v>
      </c>
      <c r="F37" s="2">
        <v>1</v>
      </c>
      <c r="G37" s="2">
        <v>0</v>
      </c>
      <c r="H37" s="2">
        <f t="shared" si="2"/>
        <v>1</v>
      </c>
    </row>
    <row r="38" spans="2:8">
      <c r="B38" s="2" t="s">
        <v>96</v>
      </c>
      <c r="C38" s="2"/>
      <c r="D38" s="2" t="s">
        <v>70</v>
      </c>
      <c r="E38" s="2">
        <v>0</v>
      </c>
      <c r="F38" s="2">
        <v>0</v>
      </c>
      <c r="G38" s="2">
        <v>1</v>
      </c>
      <c r="H38" s="2">
        <f t="shared" si="2"/>
        <v>1</v>
      </c>
    </row>
    <row r="39" spans="2:8">
      <c r="B39" s="20"/>
      <c r="C39" s="20"/>
      <c r="D39" s="20"/>
      <c r="E39" s="20">
        <f t="shared" ref="E39:H39" si="3">E36+E37+E38</f>
        <v>0</v>
      </c>
      <c r="F39" s="20">
        <f t="shared" si="3"/>
        <v>4</v>
      </c>
      <c r="G39" s="20">
        <f t="shared" si="3"/>
        <v>5</v>
      </c>
      <c r="H39" s="20">
        <f t="shared" si="3"/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9"/>
  <sheetViews>
    <sheetView topLeftCell="A260" workbookViewId="0">
      <selection activeCell="A281" sqref="A281"/>
    </sheetView>
  </sheetViews>
  <sheetFormatPr defaultColWidth="9.14285714285714" defaultRowHeight="15" outlineLevelCol="7"/>
  <cols>
    <col min="1" max="1" width="18.1428571428571" style="21" customWidth="1"/>
    <col min="2" max="2" width="19.5714285714286" style="21" customWidth="1"/>
    <col min="3" max="3" width="27.7142857142857" style="21" customWidth="1"/>
    <col min="4" max="6" width="19.4285714285714" style="21" customWidth="1"/>
    <col min="7" max="7" width="13.1428571428571" style="21" customWidth="1"/>
    <col min="8" max="8" width="11" style="21"/>
    <col min="9" max="16384" width="9.14285714285714" style="21"/>
  </cols>
  <sheetData>
    <row r="1" spans="1:8">
      <c r="A1" s="20" t="s">
        <v>0</v>
      </c>
      <c r="B1" s="2" t="s">
        <v>1</v>
      </c>
      <c r="C1" s="2" t="s">
        <v>2</v>
      </c>
      <c r="D1" s="2" t="s">
        <v>60</v>
      </c>
      <c r="E1" s="2" t="s">
        <v>97</v>
      </c>
      <c r="F1" s="2" t="s">
        <v>95</v>
      </c>
      <c r="G1" s="4" t="s">
        <v>3</v>
      </c>
      <c r="H1" s="5"/>
    </row>
    <row r="2" spans="1:8">
      <c r="A2" s="7" t="s">
        <v>43</v>
      </c>
      <c r="B2" s="2" t="s">
        <v>98</v>
      </c>
      <c r="C2" s="2" t="s">
        <v>98</v>
      </c>
      <c r="D2" s="2" t="s">
        <v>61</v>
      </c>
      <c r="E2" s="2">
        <v>2</v>
      </c>
      <c r="F2" s="2">
        <v>0</v>
      </c>
      <c r="G2" s="7">
        <f t="shared" ref="G2:G8" si="0">SUM(E2:F2)</f>
        <v>2</v>
      </c>
      <c r="H2" s="5"/>
    </row>
    <row r="3" spans="1:8">
      <c r="A3" s="7" t="s">
        <v>43</v>
      </c>
      <c r="B3" s="2" t="s">
        <v>98</v>
      </c>
      <c r="C3" s="2" t="s">
        <v>98</v>
      </c>
      <c r="D3" s="2" t="s">
        <v>99</v>
      </c>
      <c r="E3" s="2">
        <v>1</v>
      </c>
      <c r="F3" s="2">
        <v>0</v>
      </c>
      <c r="G3" s="7">
        <f t="shared" si="0"/>
        <v>1</v>
      </c>
      <c r="H3" s="5"/>
    </row>
    <row r="4" spans="1:8">
      <c r="A4" s="7" t="s">
        <v>43</v>
      </c>
      <c r="B4" s="2" t="s">
        <v>98</v>
      </c>
      <c r="C4" s="2" t="s">
        <v>98</v>
      </c>
      <c r="D4" s="2" t="s">
        <v>62</v>
      </c>
      <c r="E4" s="2">
        <v>1</v>
      </c>
      <c r="F4" s="2">
        <v>0</v>
      </c>
      <c r="G4" s="7">
        <f t="shared" si="0"/>
        <v>1</v>
      </c>
      <c r="H4" s="5"/>
    </row>
    <row r="5" spans="1:8">
      <c r="A5" s="7" t="s">
        <v>43</v>
      </c>
      <c r="B5" s="2" t="s">
        <v>98</v>
      </c>
      <c r="C5" s="2" t="s">
        <v>98</v>
      </c>
      <c r="D5" s="2" t="s">
        <v>100</v>
      </c>
      <c r="E5" s="2">
        <v>1</v>
      </c>
      <c r="F5" s="2">
        <v>0</v>
      </c>
      <c r="G5" s="7">
        <f t="shared" si="0"/>
        <v>1</v>
      </c>
      <c r="H5" s="5"/>
    </row>
    <row r="6" spans="1:8">
      <c r="A6" s="7" t="s">
        <v>43</v>
      </c>
      <c r="B6" s="2" t="s">
        <v>98</v>
      </c>
      <c r="C6" s="2" t="s">
        <v>98</v>
      </c>
      <c r="D6" s="2" t="s">
        <v>101</v>
      </c>
      <c r="E6" s="2">
        <v>1</v>
      </c>
      <c r="F6" s="2">
        <v>0</v>
      </c>
      <c r="G6" s="7">
        <f t="shared" si="0"/>
        <v>1</v>
      </c>
      <c r="H6" s="5"/>
    </row>
    <row r="7" spans="1:8">
      <c r="A7" s="7" t="s">
        <v>43</v>
      </c>
      <c r="B7" s="2" t="s">
        <v>98</v>
      </c>
      <c r="C7" s="2" t="s">
        <v>98</v>
      </c>
      <c r="D7" s="2" t="s">
        <v>86</v>
      </c>
      <c r="E7" s="2">
        <v>1</v>
      </c>
      <c r="F7" s="2">
        <v>0</v>
      </c>
      <c r="G7" s="7">
        <f t="shared" si="0"/>
        <v>1</v>
      </c>
      <c r="H7" s="5"/>
    </row>
    <row r="8" spans="1:8">
      <c r="A8" s="7" t="s">
        <v>43</v>
      </c>
      <c r="B8" s="2" t="s">
        <v>98</v>
      </c>
      <c r="C8" s="2" t="s">
        <v>98</v>
      </c>
      <c r="D8" s="2" t="s">
        <v>78</v>
      </c>
      <c r="E8" s="2">
        <v>1</v>
      </c>
      <c r="F8" s="2">
        <v>0</v>
      </c>
      <c r="G8" s="7">
        <f t="shared" si="0"/>
        <v>1</v>
      </c>
      <c r="H8" s="5"/>
    </row>
    <row r="9" spans="1:8">
      <c r="A9" s="22" t="s">
        <v>43</v>
      </c>
      <c r="B9" s="31" t="s">
        <v>98</v>
      </c>
      <c r="C9" s="31" t="s">
        <v>98</v>
      </c>
      <c r="D9" s="31" t="s">
        <v>71</v>
      </c>
      <c r="E9" s="31">
        <v>1</v>
      </c>
      <c r="F9" s="31">
        <v>0</v>
      </c>
      <c r="G9" s="22">
        <f t="shared" ref="G9:G22" si="1">SUM(E9:F9)</f>
        <v>1</v>
      </c>
      <c r="H9" s="22">
        <f>SUM(G2:G9)</f>
        <v>9</v>
      </c>
    </row>
    <row r="10" spans="1:8">
      <c r="A10" s="7" t="s">
        <v>43</v>
      </c>
      <c r="B10" s="2" t="s">
        <v>102</v>
      </c>
      <c r="C10" s="2" t="s">
        <v>102</v>
      </c>
      <c r="D10" s="2" t="s">
        <v>61</v>
      </c>
      <c r="E10" s="2">
        <v>1</v>
      </c>
      <c r="F10" s="2">
        <v>0</v>
      </c>
      <c r="G10" s="7">
        <f t="shared" si="1"/>
        <v>1</v>
      </c>
      <c r="H10" s="15"/>
    </row>
    <row r="11" spans="1:8">
      <c r="A11" s="7" t="s">
        <v>43</v>
      </c>
      <c r="B11" s="2" t="s">
        <v>102</v>
      </c>
      <c r="C11" s="2" t="s">
        <v>102</v>
      </c>
      <c r="D11" s="2" t="s">
        <v>100</v>
      </c>
      <c r="E11" s="2">
        <v>1</v>
      </c>
      <c r="F11" s="2">
        <v>0</v>
      </c>
      <c r="G11" s="7">
        <f t="shared" si="1"/>
        <v>1</v>
      </c>
      <c r="H11" s="15"/>
    </row>
    <row r="12" spans="1:8">
      <c r="A12" s="7" t="s">
        <v>43</v>
      </c>
      <c r="B12" s="2" t="s">
        <v>102</v>
      </c>
      <c r="C12" s="2" t="s">
        <v>102</v>
      </c>
      <c r="D12" s="2" t="s">
        <v>70</v>
      </c>
      <c r="E12" s="2">
        <v>1</v>
      </c>
      <c r="F12" s="2">
        <v>0</v>
      </c>
      <c r="G12" s="7">
        <f t="shared" si="1"/>
        <v>1</v>
      </c>
      <c r="H12" s="15"/>
    </row>
    <row r="13" spans="1:8">
      <c r="A13" s="7" t="s">
        <v>43</v>
      </c>
      <c r="B13" s="2" t="s">
        <v>102</v>
      </c>
      <c r="C13" s="2" t="s">
        <v>102</v>
      </c>
      <c r="D13" s="2" t="s">
        <v>90</v>
      </c>
      <c r="E13" s="2">
        <v>1</v>
      </c>
      <c r="F13" s="2">
        <v>0</v>
      </c>
      <c r="G13" s="7">
        <f t="shared" si="1"/>
        <v>1</v>
      </c>
      <c r="H13" s="15"/>
    </row>
    <row r="14" spans="1:8">
      <c r="A14" s="7" t="s">
        <v>43</v>
      </c>
      <c r="B14" s="2" t="s">
        <v>102</v>
      </c>
      <c r="C14" s="2" t="s">
        <v>102</v>
      </c>
      <c r="D14" s="2" t="s">
        <v>101</v>
      </c>
      <c r="E14" s="2">
        <v>1</v>
      </c>
      <c r="F14" s="2">
        <v>0</v>
      </c>
      <c r="G14" s="7">
        <f t="shared" si="1"/>
        <v>1</v>
      </c>
      <c r="H14" s="15"/>
    </row>
    <row r="15" spans="1:8">
      <c r="A15" s="7" t="s">
        <v>43</v>
      </c>
      <c r="B15" s="2" t="s">
        <v>102</v>
      </c>
      <c r="C15" s="2" t="s">
        <v>102</v>
      </c>
      <c r="D15" s="2" t="s">
        <v>103</v>
      </c>
      <c r="E15" s="2">
        <v>1</v>
      </c>
      <c r="F15" s="2">
        <v>0</v>
      </c>
      <c r="G15" s="7">
        <f t="shared" si="1"/>
        <v>1</v>
      </c>
      <c r="H15" s="15"/>
    </row>
    <row r="16" spans="1:8">
      <c r="A16" s="7" t="s">
        <v>43</v>
      </c>
      <c r="B16" s="2" t="s">
        <v>102</v>
      </c>
      <c r="C16" s="2" t="s">
        <v>102</v>
      </c>
      <c r="D16" s="2" t="s">
        <v>104</v>
      </c>
      <c r="E16" s="2">
        <v>1</v>
      </c>
      <c r="F16" s="2">
        <v>0</v>
      </c>
      <c r="G16" s="7">
        <f t="shared" si="1"/>
        <v>1</v>
      </c>
      <c r="H16" s="15"/>
    </row>
    <row r="17" spans="1:8">
      <c r="A17" s="7" t="s">
        <v>43</v>
      </c>
      <c r="B17" s="2" t="s">
        <v>102</v>
      </c>
      <c r="C17" s="2" t="s">
        <v>102</v>
      </c>
      <c r="D17" s="2" t="s">
        <v>105</v>
      </c>
      <c r="E17" s="2">
        <v>1</v>
      </c>
      <c r="F17" s="2">
        <v>0</v>
      </c>
      <c r="G17" s="7">
        <f t="shared" si="1"/>
        <v>1</v>
      </c>
      <c r="H17" s="15"/>
    </row>
    <row r="18" spans="1:8">
      <c r="A18" s="22" t="s">
        <v>43</v>
      </c>
      <c r="B18" s="31" t="s">
        <v>102</v>
      </c>
      <c r="C18" s="31" t="s">
        <v>102</v>
      </c>
      <c r="D18" s="31" t="s">
        <v>86</v>
      </c>
      <c r="E18" s="31">
        <v>1</v>
      </c>
      <c r="F18" s="31">
        <v>0</v>
      </c>
      <c r="G18" s="22">
        <f t="shared" si="1"/>
        <v>1</v>
      </c>
      <c r="H18" s="23">
        <f>SUM(G10:G18)</f>
        <v>9</v>
      </c>
    </row>
    <row r="19" spans="1:8">
      <c r="A19" s="20" t="s">
        <v>43</v>
      </c>
      <c r="B19" s="2" t="s">
        <v>106</v>
      </c>
      <c r="C19" s="2" t="s">
        <v>106</v>
      </c>
      <c r="D19" s="2" t="s">
        <v>89</v>
      </c>
      <c r="E19" s="2">
        <v>3</v>
      </c>
      <c r="F19" s="2">
        <v>0</v>
      </c>
      <c r="G19" s="20">
        <f t="shared" si="1"/>
        <v>3</v>
      </c>
      <c r="H19" s="8"/>
    </row>
    <row r="20" spans="1:8">
      <c r="A20" s="20" t="s">
        <v>43</v>
      </c>
      <c r="B20" s="2" t="s">
        <v>106</v>
      </c>
      <c r="C20" s="2" t="s">
        <v>106</v>
      </c>
      <c r="D20" s="2" t="s">
        <v>107</v>
      </c>
      <c r="E20" s="2">
        <v>1</v>
      </c>
      <c r="F20" s="2">
        <v>2</v>
      </c>
      <c r="G20" s="20">
        <f t="shared" ref="G20:G30" si="2">SUM(E20:F20)</f>
        <v>3</v>
      </c>
      <c r="H20" s="8"/>
    </row>
    <row r="21" spans="1:8">
      <c r="A21" s="20" t="s">
        <v>43</v>
      </c>
      <c r="B21" s="2" t="s">
        <v>106</v>
      </c>
      <c r="C21" s="2" t="s">
        <v>106</v>
      </c>
      <c r="D21" s="2" t="s">
        <v>108</v>
      </c>
      <c r="E21" s="2">
        <v>1</v>
      </c>
      <c r="F21" s="2">
        <v>2</v>
      </c>
      <c r="G21" s="20">
        <f t="shared" si="2"/>
        <v>3</v>
      </c>
      <c r="H21" s="8"/>
    </row>
    <row r="22" spans="1:8">
      <c r="A22" s="20" t="s">
        <v>43</v>
      </c>
      <c r="B22" s="2" t="s">
        <v>106</v>
      </c>
      <c r="C22" s="2" t="s">
        <v>106</v>
      </c>
      <c r="D22" s="2" t="s">
        <v>109</v>
      </c>
      <c r="E22" s="2">
        <v>0</v>
      </c>
      <c r="F22" s="2">
        <v>4</v>
      </c>
      <c r="G22" s="20">
        <f t="shared" si="2"/>
        <v>4</v>
      </c>
      <c r="H22" s="8"/>
    </row>
    <row r="23" spans="1:8">
      <c r="A23" s="20" t="s">
        <v>43</v>
      </c>
      <c r="B23" s="2" t="s">
        <v>106</v>
      </c>
      <c r="C23" s="2" t="s">
        <v>106</v>
      </c>
      <c r="D23" s="2" t="s">
        <v>62</v>
      </c>
      <c r="E23" s="2">
        <v>3</v>
      </c>
      <c r="F23" s="2">
        <v>2</v>
      </c>
      <c r="G23" s="20">
        <f t="shared" si="2"/>
        <v>5</v>
      </c>
      <c r="H23" s="8"/>
    </row>
    <row r="24" spans="1:8">
      <c r="A24" s="20" t="s">
        <v>43</v>
      </c>
      <c r="B24" s="2" t="s">
        <v>106</v>
      </c>
      <c r="C24" s="2" t="s">
        <v>106</v>
      </c>
      <c r="D24" s="2" t="s">
        <v>61</v>
      </c>
      <c r="E24" s="2">
        <v>1</v>
      </c>
      <c r="F24" s="2">
        <v>5</v>
      </c>
      <c r="G24" s="20">
        <f t="shared" si="2"/>
        <v>6</v>
      </c>
      <c r="H24" s="8"/>
    </row>
    <row r="25" spans="1:8">
      <c r="A25" s="20" t="s">
        <v>43</v>
      </c>
      <c r="B25" s="2" t="s">
        <v>106</v>
      </c>
      <c r="C25" s="2" t="s">
        <v>106</v>
      </c>
      <c r="D25" s="2" t="s">
        <v>110</v>
      </c>
      <c r="E25" s="2">
        <v>1</v>
      </c>
      <c r="F25" s="2">
        <v>0</v>
      </c>
      <c r="G25" s="20">
        <f t="shared" si="2"/>
        <v>1</v>
      </c>
      <c r="H25" s="8"/>
    </row>
    <row r="26" spans="1:8">
      <c r="A26" s="20" t="s">
        <v>43</v>
      </c>
      <c r="B26" s="2" t="s">
        <v>106</v>
      </c>
      <c r="C26" s="2" t="s">
        <v>106</v>
      </c>
      <c r="D26" s="2" t="s">
        <v>63</v>
      </c>
      <c r="E26" s="2">
        <v>1</v>
      </c>
      <c r="F26" s="2">
        <v>2</v>
      </c>
      <c r="G26" s="20">
        <f t="shared" si="2"/>
        <v>3</v>
      </c>
      <c r="H26" s="8"/>
    </row>
    <row r="27" spans="1:8">
      <c r="A27" s="20" t="s">
        <v>43</v>
      </c>
      <c r="B27" s="2" t="s">
        <v>106</v>
      </c>
      <c r="C27" s="2" t="s">
        <v>106</v>
      </c>
      <c r="D27" s="2" t="s">
        <v>100</v>
      </c>
      <c r="E27" s="2">
        <v>2</v>
      </c>
      <c r="F27" s="2">
        <v>2</v>
      </c>
      <c r="G27" s="20">
        <f t="shared" si="2"/>
        <v>4</v>
      </c>
      <c r="H27" s="8"/>
    </row>
    <row r="28" spans="1:8">
      <c r="A28" s="20" t="s">
        <v>43</v>
      </c>
      <c r="B28" s="2" t="s">
        <v>106</v>
      </c>
      <c r="C28" s="2" t="s">
        <v>106</v>
      </c>
      <c r="D28" s="2" t="s">
        <v>101</v>
      </c>
      <c r="E28" s="2">
        <v>0</v>
      </c>
      <c r="F28" s="2">
        <v>2</v>
      </c>
      <c r="G28" s="20">
        <f t="shared" si="2"/>
        <v>2</v>
      </c>
      <c r="H28" s="8"/>
    </row>
    <row r="29" spans="1:8">
      <c r="A29" s="20" t="s">
        <v>43</v>
      </c>
      <c r="B29" s="2" t="s">
        <v>106</v>
      </c>
      <c r="C29" s="2" t="s">
        <v>106</v>
      </c>
      <c r="D29" s="2" t="s">
        <v>80</v>
      </c>
      <c r="E29" s="2">
        <v>5</v>
      </c>
      <c r="F29" s="2">
        <v>3</v>
      </c>
      <c r="G29" s="20">
        <f t="shared" si="2"/>
        <v>8</v>
      </c>
      <c r="H29" s="8"/>
    </row>
    <row r="30" spans="1:8">
      <c r="A30" s="20" t="s">
        <v>43</v>
      </c>
      <c r="B30" s="2" t="s">
        <v>106</v>
      </c>
      <c r="C30" s="2" t="s">
        <v>106</v>
      </c>
      <c r="D30" s="2" t="s">
        <v>90</v>
      </c>
      <c r="E30" s="2">
        <v>0</v>
      </c>
      <c r="F30" s="2">
        <v>2</v>
      </c>
      <c r="G30" s="20">
        <f t="shared" si="2"/>
        <v>2</v>
      </c>
    </row>
    <row r="31" spans="1:8">
      <c r="A31" s="20" t="s">
        <v>43</v>
      </c>
      <c r="B31" s="2" t="s">
        <v>106</v>
      </c>
      <c r="C31" s="2" t="s">
        <v>106</v>
      </c>
      <c r="D31" s="7" t="s">
        <v>67</v>
      </c>
      <c r="E31" s="2">
        <v>1</v>
      </c>
      <c r="F31" s="2">
        <v>3</v>
      </c>
      <c r="G31" s="20">
        <f t="shared" ref="G31:G44" si="3">SUM(E31:F31)</f>
        <v>4</v>
      </c>
    </row>
    <row r="32" spans="1:8">
      <c r="A32" s="20" t="s">
        <v>43</v>
      </c>
      <c r="B32" s="2" t="s">
        <v>106</v>
      </c>
      <c r="C32" s="2" t="s">
        <v>106</v>
      </c>
      <c r="D32" s="7" t="s">
        <v>104</v>
      </c>
      <c r="E32" s="2">
        <v>1</v>
      </c>
      <c r="F32" s="2">
        <v>2</v>
      </c>
      <c r="G32" s="20">
        <f t="shared" si="3"/>
        <v>3</v>
      </c>
    </row>
    <row r="33" spans="1:8">
      <c r="A33" s="20" t="s">
        <v>43</v>
      </c>
      <c r="B33" s="2" t="s">
        <v>106</v>
      </c>
      <c r="C33" s="2" t="s">
        <v>106</v>
      </c>
      <c r="D33" s="7" t="s">
        <v>78</v>
      </c>
      <c r="E33" s="2">
        <v>0</v>
      </c>
      <c r="F33" s="2">
        <v>2</v>
      </c>
      <c r="G33" s="20">
        <f t="shared" si="3"/>
        <v>2</v>
      </c>
    </row>
    <row r="34" spans="1:8">
      <c r="A34" s="20" t="s">
        <v>43</v>
      </c>
      <c r="B34" s="2" t="s">
        <v>106</v>
      </c>
      <c r="C34" s="2" t="s">
        <v>106</v>
      </c>
      <c r="D34" s="7" t="s">
        <v>71</v>
      </c>
      <c r="E34" s="2">
        <v>0</v>
      </c>
      <c r="F34" s="2">
        <v>2</v>
      </c>
      <c r="G34" s="20">
        <f t="shared" si="3"/>
        <v>2</v>
      </c>
    </row>
    <row r="35" spans="1:8">
      <c r="A35" s="22" t="s">
        <v>43</v>
      </c>
      <c r="B35" s="31" t="s">
        <v>106</v>
      </c>
      <c r="C35" s="31" t="s">
        <v>106</v>
      </c>
      <c r="D35" s="22" t="s">
        <v>103</v>
      </c>
      <c r="E35" s="31">
        <v>0</v>
      </c>
      <c r="F35" s="31">
        <v>2</v>
      </c>
      <c r="G35" s="22">
        <f t="shared" si="3"/>
        <v>2</v>
      </c>
      <c r="H35" s="32">
        <f>SUM(G19:G35)</f>
        <v>57</v>
      </c>
    </row>
    <row r="36" s="15" customFormat="1" spans="1:8">
      <c r="A36" s="7" t="s">
        <v>111</v>
      </c>
      <c r="B36" s="2" t="s">
        <v>112</v>
      </c>
      <c r="C36" s="2" t="s">
        <v>113</v>
      </c>
      <c r="D36" s="7" t="s">
        <v>61</v>
      </c>
      <c r="E36" s="2">
        <v>1</v>
      </c>
      <c r="F36" s="2">
        <v>0</v>
      </c>
      <c r="G36" s="20">
        <f t="shared" si="3"/>
        <v>1</v>
      </c>
      <c r="H36" s="8"/>
    </row>
    <row r="37" s="15" customFormat="1" spans="1:8">
      <c r="A37" s="7" t="s">
        <v>111</v>
      </c>
      <c r="B37" s="2" t="s">
        <v>112</v>
      </c>
      <c r="C37" s="2" t="s">
        <v>113</v>
      </c>
      <c r="D37" s="7" t="s">
        <v>101</v>
      </c>
      <c r="E37" s="2">
        <v>1</v>
      </c>
      <c r="F37" s="2">
        <v>0</v>
      </c>
      <c r="G37" s="20">
        <f t="shared" si="3"/>
        <v>1</v>
      </c>
      <c r="H37" s="8"/>
    </row>
    <row r="38" s="15" customFormat="1" spans="1:8">
      <c r="A38" s="7" t="s">
        <v>111</v>
      </c>
      <c r="B38" s="2" t="s">
        <v>112</v>
      </c>
      <c r="C38" s="2" t="s">
        <v>113</v>
      </c>
      <c r="D38" s="7" t="s">
        <v>62</v>
      </c>
      <c r="E38" s="2">
        <v>1</v>
      </c>
      <c r="F38" s="2">
        <v>0</v>
      </c>
      <c r="G38" s="20">
        <f t="shared" si="3"/>
        <v>1</v>
      </c>
      <c r="H38" s="8"/>
    </row>
    <row r="39" s="15" customFormat="1" spans="1:8">
      <c r="A39" s="7" t="s">
        <v>111</v>
      </c>
      <c r="B39" s="2" t="s">
        <v>112</v>
      </c>
      <c r="C39" s="2" t="s">
        <v>114</v>
      </c>
      <c r="D39" s="7" t="s">
        <v>61</v>
      </c>
      <c r="E39" s="2">
        <v>1</v>
      </c>
      <c r="F39" s="2">
        <v>0</v>
      </c>
      <c r="G39" s="20">
        <f t="shared" si="3"/>
        <v>1</v>
      </c>
      <c r="H39" s="8"/>
    </row>
    <row r="40" s="15" customFormat="1" spans="1:8">
      <c r="A40" s="7" t="s">
        <v>111</v>
      </c>
      <c r="B40" s="2" t="s">
        <v>112</v>
      </c>
      <c r="C40" s="2" t="s">
        <v>115</v>
      </c>
      <c r="D40" s="7" t="s">
        <v>64</v>
      </c>
      <c r="E40" s="2">
        <v>1</v>
      </c>
      <c r="F40" s="2">
        <v>0</v>
      </c>
      <c r="G40" s="20">
        <f t="shared" si="3"/>
        <v>1</v>
      </c>
      <c r="H40" s="8"/>
    </row>
    <row r="41" s="15" customFormat="1" spans="1:8">
      <c r="A41" s="7" t="s">
        <v>111</v>
      </c>
      <c r="B41" s="2" t="s">
        <v>112</v>
      </c>
      <c r="C41" s="2" t="s">
        <v>115</v>
      </c>
      <c r="D41" s="7" t="s">
        <v>90</v>
      </c>
      <c r="E41" s="2">
        <v>1</v>
      </c>
      <c r="F41" s="2">
        <v>0</v>
      </c>
      <c r="G41" s="20">
        <f t="shared" si="3"/>
        <v>1</v>
      </c>
      <c r="H41" s="8"/>
    </row>
    <row r="42" s="15" customFormat="1" spans="1:8">
      <c r="A42" s="7" t="s">
        <v>111</v>
      </c>
      <c r="B42" s="2" t="s">
        <v>112</v>
      </c>
      <c r="C42" s="2" t="s">
        <v>115</v>
      </c>
      <c r="D42" s="7" t="s">
        <v>78</v>
      </c>
      <c r="E42" s="2">
        <v>1</v>
      </c>
      <c r="F42" s="2">
        <v>0</v>
      </c>
      <c r="G42" s="20">
        <f t="shared" si="3"/>
        <v>1</v>
      </c>
      <c r="H42" s="8"/>
    </row>
    <row r="43" s="15" customFormat="1" spans="1:8">
      <c r="A43" s="7" t="s">
        <v>111</v>
      </c>
      <c r="B43" s="2" t="s">
        <v>112</v>
      </c>
      <c r="C43" s="2" t="s">
        <v>115</v>
      </c>
      <c r="D43" s="7" t="s">
        <v>63</v>
      </c>
      <c r="E43" s="2">
        <v>1</v>
      </c>
      <c r="F43" s="2">
        <v>0</v>
      </c>
      <c r="G43" s="20">
        <f t="shared" ref="G43:G106" si="4">SUM(E43:F43)</f>
        <v>1</v>
      </c>
      <c r="H43" s="8"/>
    </row>
    <row r="44" s="15" customFormat="1" spans="1:8">
      <c r="A44" s="7" t="s">
        <v>111</v>
      </c>
      <c r="B44" s="2" t="s">
        <v>112</v>
      </c>
      <c r="C44" s="2" t="s">
        <v>115</v>
      </c>
      <c r="D44" s="7" t="s">
        <v>101</v>
      </c>
      <c r="E44" s="2">
        <v>1</v>
      </c>
      <c r="F44" s="2">
        <v>0</v>
      </c>
      <c r="G44" s="20">
        <f t="shared" si="4"/>
        <v>1</v>
      </c>
      <c r="H44" s="8"/>
    </row>
    <row r="45" s="15" customFormat="1" spans="1:8">
      <c r="A45" s="13" t="s">
        <v>111</v>
      </c>
      <c r="B45" s="10" t="s">
        <v>112</v>
      </c>
      <c r="C45" s="10" t="s">
        <v>115</v>
      </c>
      <c r="D45" s="13" t="s">
        <v>100</v>
      </c>
      <c r="E45" s="10">
        <v>1</v>
      </c>
      <c r="F45" s="10">
        <v>0</v>
      </c>
      <c r="G45" s="13">
        <f t="shared" si="4"/>
        <v>1</v>
      </c>
      <c r="H45" s="14">
        <f>SUM(G36:G45)</f>
        <v>10</v>
      </c>
    </row>
    <row r="46" s="15" customFormat="1" spans="1:8">
      <c r="A46" s="7" t="s">
        <v>111</v>
      </c>
      <c r="B46" s="2" t="s">
        <v>116</v>
      </c>
      <c r="C46" s="2" t="s">
        <v>115</v>
      </c>
      <c r="D46" s="7" t="s">
        <v>117</v>
      </c>
      <c r="E46" s="2">
        <v>1</v>
      </c>
      <c r="F46" s="2">
        <v>0</v>
      </c>
      <c r="G46" s="20">
        <f t="shared" si="4"/>
        <v>1</v>
      </c>
      <c r="H46" s="8"/>
    </row>
    <row r="47" s="15" customFormat="1" spans="1:8">
      <c r="A47" s="7" t="s">
        <v>111</v>
      </c>
      <c r="B47" s="2" t="s">
        <v>116</v>
      </c>
      <c r="C47" s="2" t="s">
        <v>115</v>
      </c>
      <c r="D47" s="7" t="s">
        <v>61</v>
      </c>
      <c r="E47" s="2">
        <v>1</v>
      </c>
      <c r="F47" s="2">
        <v>0</v>
      </c>
      <c r="G47" s="20">
        <f t="shared" si="4"/>
        <v>1</v>
      </c>
      <c r="H47" s="8"/>
    </row>
    <row r="48" s="15" customFormat="1" spans="1:8">
      <c r="A48" s="7" t="s">
        <v>111</v>
      </c>
      <c r="B48" s="2" t="s">
        <v>116</v>
      </c>
      <c r="C48" s="2" t="s">
        <v>115</v>
      </c>
      <c r="D48" s="7" t="s">
        <v>118</v>
      </c>
      <c r="E48" s="2">
        <v>1</v>
      </c>
      <c r="F48" s="2">
        <v>0</v>
      </c>
      <c r="G48" s="20">
        <f t="shared" si="4"/>
        <v>1</v>
      </c>
      <c r="H48" s="8"/>
    </row>
    <row r="49" s="15" customFormat="1" spans="1:8">
      <c r="A49" s="7" t="s">
        <v>111</v>
      </c>
      <c r="B49" s="2" t="s">
        <v>116</v>
      </c>
      <c r="C49" s="2" t="s">
        <v>115</v>
      </c>
      <c r="D49" s="7" t="s">
        <v>78</v>
      </c>
      <c r="E49" s="2">
        <v>1</v>
      </c>
      <c r="F49" s="2">
        <v>0</v>
      </c>
      <c r="G49" s="20">
        <f t="shared" si="4"/>
        <v>1</v>
      </c>
      <c r="H49" s="8"/>
    </row>
    <row r="50" s="15" customFormat="1" spans="1:8">
      <c r="A50" s="7" t="s">
        <v>111</v>
      </c>
      <c r="B50" s="2" t="s">
        <v>116</v>
      </c>
      <c r="C50" s="2" t="s">
        <v>115</v>
      </c>
      <c r="D50" s="7" t="s">
        <v>119</v>
      </c>
      <c r="E50" s="2">
        <v>1</v>
      </c>
      <c r="F50" s="2">
        <v>0</v>
      </c>
      <c r="G50" s="20">
        <f t="shared" si="4"/>
        <v>1</v>
      </c>
      <c r="H50" s="8"/>
    </row>
    <row r="51" s="15" customFormat="1" spans="1:8">
      <c r="A51" s="7" t="s">
        <v>111</v>
      </c>
      <c r="B51" s="2" t="s">
        <v>116</v>
      </c>
      <c r="C51" s="2" t="s">
        <v>115</v>
      </c>
      <c r="D51" s="7" t="s">
        <v>120</v>
      </c>
      <c r="E51" s="2">
        <v>1</v>
      </c>
      <c r="F51" s="2">
        <v>0</v>
      </c>
      <c r="G51" s="20">
        <f t="shared" si="4"/>
        <v>1</v>
      </c>
      <c r="H51" s="8"/>
    </row>
    <row r="52" s="15" customFormat="1" spans="1:8">
      <c r="A52" s="7" t="s">
        <v>111</v>
      </c>
      <c r="B52" s="2" t="s">
        <v>116</v>
      </c>
      <c r="C52" s="2" t="s">
        <v>115</v>
      </c>
      <c r="D52" s="7" t="s">
        <v>65</v>
      </c>
      <c r="E52" s="2">
        <v>1</v>
      </c>
      <c r="F52" s="2">
        <v>0</v>
      </c>
      <c r="G52" s="20">
        <f t="shared" si="4"/>
        <v>1</v>
      </c>
      <c r="H52" s="8"/>
    </row>
    <row r="53" s="15" customFormat="1" spans="1:8">
      <c r="A53" s="7" t="s">
        <v>111</v>
      </c>
      <c r="B53" s="2" t="s">
        <v>116</v>
      </c>
      <c r="C53" s="2" t="s">
        <v>115</v>
      </c>
      <c r="D53" s="7" t="s">
        <v>90</v>
      </c>
      <c r="E53" s="2">
        <v>1</v>
      </c>
      <c r="F53" s="2">
        <v>0</v>
      </c>
      <c r="G53" s="20">
        <f t="shared" si="4"/>
        <v>1</v>
      </c>
      <c r="H53" s="8"/>
    </row>
    <row r="54" s="15" customFormat="1" spans="1:8">
      <c r="A54" s="7" t="s">
        <v>111</v>
      </c>
      <c r="B54" s="2" t="s">
        <v>116</v>
      </c>
      <c r="C54" s="2" t="s">
        <v>115</v>
      </c>
      <c r="D54" s="7" t="s">
        <v>64</v>
      </c>
      <c r="E54" s="2">
        <v>1</v>
      </c>
      <c r="F54" s="2">
        <v>0</v>
      </c>
      <c r="G54" s="20">
        <f t="shared" si="4"/>
        <v>1</v>
      </c>
      <c r="H54" s="8"/>
    </row>
    <row r="55" s="15" customFormat="1" spans="1:8">
      <c r="A55" s="13" t="s">
        <v>111</v>
      </c>
      <c r="B55" s="10" t="s">
        <v>116</v>
      </c>
      <c r="C55" s="10" t="s">
        <v>115</v>
      </c>
      <c r="D55" s="13" t="s">
        <v>100</v>
      </c>
      <c r="E55" s="10">
        <v>1</v>
      </c>
      <c r="F55" s="10">
        <v>0</v>
      </c>
      <c r="G55" s="13">
        <f t="shared" si="4"/>
        <v>1</v>
      </c>
      <c r="H55" s="14">
        <f>SUM(G46:G55)</f>
        <v>10</v>
      </c>
    </row>
    <row r="56" s="15" customFormat="1" spans="1:8">
      <c r="A56" s="7" t="s">
        <v>46</v>
      </c>
      <c r="B56" s="2" t="s">
        <v>116</v>
      </c>
      <c r="C56" s="2" t="s">
        <v>121</v>
      </c>
      <c r="D56" s="7" t="s">
        <v>122</v>
      </c>
      <c r="E56" s="2">
        <v>1</v>
      </c>
      <c r="F56" s="2">
        <v>0</v>
      </c>
      <c r="G56" s="20">
        <f t="shared" si="4"/>
        <v>1</v>
      </c>
      <c r="H56" s="8"/>
    </row>
    <row r="57" s="15" customFormat="1" spans="1:8">
      <c r="A57" s="7" t="s">
        <v>46</v>
      </c>
      <c r="B57" s="2" t="s">
        <v>116</v>
      </c>
      <c r="C57" s="2" t="s">
        <v>121</v>
      </c>
      <c r="D57" s="7" t="s">
        <v>71</v>
      </c>
      <c r="E57" s="2">
        <v>1</v>
      </c>
      <c r="F57" s="2">
        <v>0</v>
      </c>
      <c r="G57" s="20">
        <f t="shared" si="4"/>
        <v>1</v>
      </c>
      <c r="H57" s="8"/>
    </row>
    <row r="58" s="15" customFormat="1" spans="1:8">
      <c r="A58" s="7" t="s">
        <v>46</v>
      </c>
      <c r="B58" s="2" t="s">
        <v>116</v>
      </c>
      <c r="C58" s="2" t="s">
        <v>121</v>
      </c>
      <c r="D58" s="7" t="s">
        <v>100</v>
      </c>
      <c r="E58" s="2">
        <v>1</v>
      </c>
      <c r="F58" s="2">
        <v>0</v>
      </c>
      <c r="G58" s="20">
        <f t="shared" si="4"/>
        <v>1</v>
      </c>
      <c r="H58" s="8"/>
    </row>
    <row r="59" s="15" customFormat="1" spans="1:8">
      <c r="A59" s="7" t="s">
        <v>46</v>
      </c>
      <c r="B59" s="2" t="s">
        <v>116</v>
      </c>
      <c r="C59" s="2" t="s">
        <v>121</v>
      </c>
      <c r="D59" s="7" t="s">
        <v>64</v>
      </c>
      <c r="E59" s="2">
        <v>1</v>
      </c>
      <c r="F59" s="2">
        <v>0</v>
      </c>
      <c r="G59" s="20">
        <f t="shared" si="4"/>
        <v>1</v>
      </c>
      <c r="H59" s="8"/>
    </row>
    <row r="60" s="15" customFormat="1" spans="1:8">
      <c r="A60" s="7" t="s">
        <v>46</v>
      </c>
      <c r="B60" s="2" t="s">
        <v>116</v>
      </c>
      <c r="C60" s="2" t="s">
        <v>121</v>
      </c>
      <c r="D60" s="7" t="s">
        <v>70</v>
      </c>
      <c r="E60" s="2">
        <v>1</v>
      </c>
      <c r="F60" s="2">
        <v>0</v>
      </c>
      <c r="G60" s="20">
        <f t="shared" si="4"/>
        <v>1</v>
      </c>
      <c r="H60" s="8"/>
    </row>
    <row r="61" s="15" customFormat="1" spans="1:8">
      <c r="A61" s="7" t="s">
        <v>46</v>
      </c>
      <c r="B61" s="2" t="s">
        <v>116</v>
      </c>
      <c r="C61" s="2" t="s">
        <v>121</v>
      </c>
      <c r="D61" s="7" t="s">
        <v>103</v>
      </c>
      <c r="E61" s="2">
        <v>1</v>
      </c>
      <c r="F61" s="2">
        <v>0</v>
      </c>
      <c r="G61" s="20">
        <f t="shared" si="4"/>
        <v>1</v>
      </c>
      <c r="H61" s="8"/>
    </row>
    <row r="62" s="15" customFormat="1" spans="1:8">
      <c r="A62" s="7" t="s">
        <v>46</v>
      </c>
      <c r="B62" s="2" t="s">
        <v>116</v>
      </c>
      <c r="C62" s="2" t="s">
        <v>121</v>
      </c>
      <c r="D62" s="7" t="s">
        <v>62</v>
      </c>
      <c r="E62" s="2">
        <v>1</v>
      </c>
      <c r="F62" s="2">
        <v>0</v>
      </c>
      <c r="G62" s="20">
        <f t="shared" si="4"/>
        <v>1</v>
      </c>
      <c r="H62" s="8"/>
    </row>
    <row r="63" s="15" customFormat="1" spans="1:8">
      <c r="A63" s="7" t="s">
        <v>46</v>
      </c>
      <c r="B63" s="2" t="s">
        <v>116</v>
      </c>
      <c r="C63" s="2" t="s">
        <v>121</v>
      </c>
      <c r="D63" s="7" t="s">
        <v>123</v>
      </c>
      <c r="E63" s="2">
        <v>1</v>
      </c>
      <c r="F63" s="2">
        <v>0</v>
      </c>
      <c r="G63" s="20">
        <f t="shared" si="4"/>
        <v>1</v>
      </c>
      <c r="H63" s="8"/>
    </row>
    <row r="64" s="15" customFormat="1" spans="1:8">
      <c r="A64" s="13" t="s">
        <v>46</v>
      </c>
      <c r="B64" s="10" t="s">
        <v>116</v>
      </c>
      <c r="C64" s="10" t="s">
        <v>121</v>
      </c>
      <c r="D64" s="13" t="s">
        <v>61</v>
      </c>
      <c r="E64" s="10">
        <v>1</v>
      </c>
      <c r="F64" s="10">
        <v>0</v>
      </c>
      <c r="G64" s="13">
        <f t="shared" si="4"/>
        <v>1</v>
      </c>
      <c r="H64" s="14">
        <f>SUM(G56:G64)</f>
        <v>9</v>
      </c>
    </row>
    <row r="65" s="15" customFormat="1" spans="1:8">
      <c r="A65" s="7" t="s">
        <v>46</v>
      </c>
      <c r="B65" s="2">
        <v>112</v>
      </c>
      <c r="C65" s="2" t="s">
        <v>124</v>
      </c>
      <c r="D65" s="7" t="s">
        <v>125</v>
      </c>
      <c r="E65" s="2">
        <v>1</v>
      </c>
      <c r="F65" s="2">
        <v>0</v>
      </c>
      <c r="G65" s="20">
        <f t="shared" si="4"/>
        <v>1</v>
      </c>
      <c r="H65" s="8"/>
    </row>
    <row r="66" s="15" customFormat="1" spans="1:8">
      <c r="A66" s="7" t="s">
        <v>46</v>
      </c>
      <c r="B66" s="2">
        <v>112</v>
      </c>
      <c r="C66" s="2" t="s">
        <v>124</v>
      </c>
      <c r="D66" s="7" t="s">
        <v>126</v>
      </c>
      <c r="E66" s="2">
        <v>1</v>
      </c>
      <c r="F66" s="2">
        <v>0</v>
      </c>
      <c r="G66" s="20">
        <f t="shared" si="4"/>
        <v>1</v>
      </c>
      <c r="H66" s="8"/>
    </row>
    <row r="67" s="15" customFormat="1" spans="1:8">
      <c r="A67" s="7" t="s">
        <v>46</v>
      </c>
      <c r="B67" s="2">
        <v>112</v>
      </c>
      <c r="C67" s="2" t="s">
        <v>124</v>
      </c>
      <c r="D67" s="7" t="s">
        <v>127</v>
      </c>
      <c r="E67" s="2">
        <v>1</v>
      </c>
      <c r="F67" s="2">
        <v>0</v>
      </c>
      <c r="G67" s="20">
        <f t="shared" si="4"/>
        <v>1</v>
      </c>
      <c r="H67" s="8"/>
    </row>
    <row r="68" s="15" customFormat="1" spans="1:8">
      <c r="A68" s="7" t="s">
        <v>46</v>
      </c>
      <c r="B68" s="2">
        <v>112</v>
      </c>
      <c r="C68" s="2" t="s">
        <v>124</v>
      </c>
      <c r="D68" s="7" t="s">
        <v>105</v>
      </c>
      <c r="E68" s="2">
        <v>1</v>
      </c>
      <c r="F68" s="2">
        <v>0</v>
      </c>
      <c r="G68" s="20">
        <f t="shared" si="4"/>
        <v>1</v>
      </c>
      <c r="H68" s="8"/>
    </row>
    <row r="69" s="15" customFormat="1" spans="1:8">
      <c r="A69" s="7" t="s">
        <v>46</v>
      </c>
      <c r="B69" s="2">
        <v>112</v>
      </c>
      <c r="C69" s="2" t="s">
        <v>124</v>
      </c>
      <c r="D69" s="7" t="s">
        <v>65</v>
      </c>
      <c r="E69" s="2">
        <v>2</v>
      </c>
      <c r="F69" s="2">
        <v>0</v>
      </c>
      <c r="G69" s="20">
        <f t="shared" si="4"/>
        <v>2</v>
      </c>
      <c r="H69" s="8"/>
    </row>
    <row r="70" s="15" customFormat="1" spans="1:8">
      <c r="A70" s="7" t="s">
        <v>46</v>
      </c>
      <c r="B70" s="2">
        <v>112</v>
      </c>
      <c r="C70" s="2" t="s">
        <v>124</v>
      </c>
      <c r="D70" s="7" t="s">
        <v>128</v>
      </c>
      <c r="E70" s="2">
        <v>1</v>
      </c>
      <c r="F70" s="2">
        <v>0</v>
      </c>
      <c r="G70" s="20">
        <f t="shared" si="4"/>
        <v>1</v>
      </c>
      <c r="H70" s="8"/>
    </row>
    <row r="71" s="15" customFormat="1" spans="1:8">
      <c r="A71" s="7" t="s">
        <v>46</v>
      </c>
      <c r="B71" s="2">
        <v>112</v>
      </c>
      <c r="C71" s="2" t="s">
        <v>124</v>
      </c>
      <c r="D71" s="7" t="s">
        <v>61</v>
      </c>
      <c r="E71" s="2">
        <v>4</v>
      </c>
      <c r="F71" s="2">
        <v>0</v>
      </c>
      <c r="G71" s="20">
        <f t="shared" si="4"/>
        <v>4</v>
      </c>
      <c r="H71" s="8"/>
    </row>
    <row r="72" s="15" customFormat="1" spans="1:8">
      <c r="A72" s="7" t="s">
        <v>46</v>
      </c>
      <c r="B72" s="2">
        <v>112</v>
      </c>
      <c r="C72" s="2" t="s">
        <v>124</v>
      </c>
      <c r="D72" s="7" t="s">
        <v>72</v>
      </c>
      <c r="E72" s="2">
        <v>1</v>
      </c>
      <c r="F72" s="2">
        <v>0</v>
      </c>
      <c r="G72" s="20">
        <f t="shared" si="4"/>
        <v>1</v>
      </c>
      <c r="H72" s="8"/>
    </row>
    <row r="73" s="15" customFormat="1" spans="1:8">
      <c r="A73" s="7" t="s">
        <v>46</v>
      </c>
      <c r="B73" s="2">
        <v>112</v>
      </c>
      <c r="C73" s="2" t="s">
        <v>124</v>
      </c>
      <c r="D73" s="7" t="s">
        <v>71</v>
      </c>
      <c r="E73" s="2">
        <v>1</v>
      </c>
      <c r="F73" s="2">
        <v>0</v>
      </c>
      <c r="G73" s="20">
        <f t="shared" si="4"/>
        <v>1</v>
      </c>
      <c r="H73" s="8"/>
    </row>
    <row r="74" s="15" customFormat="1" spans="1:8">
      <c r="A74" s="7" t="s">
        <v>46</v>
      </c>
      <c r="B74" s="2">
        <v>112</v>
      </c>
      <c r="C74" s="2" t="s">
        <v>124</v>
      </c>
      <c r="D74" s="7" t="s">
        <v>129</v>
      </c>
      <c r="E74" s="2">
        <v>2</v>
      </c>
      <c r="F74" s="2">
        <v>0</v>
      </c>
      <c r="G74" s="20">
        <f t="shared" si="4"/>
        <v>2</v>
      </c>
      <c r="H74" s="8"/>
    </row>
    <row r="75" s="15" customFormat="1" spans="1:8">
      <c r="A75" s="7" t="s">
        <v>46</v>
      </c>
      <c r="B75" s="2">
        <v>112</v>
      </c>
      <c r="C75" s="2" t="s">
        <v>124</v>
      </c>
      <c r="D75" s="7" t="s">
        <v>68</v>
      </c>
      <c r="E75" s="2">
        <v>1</v>
      </c>
      <c r="F75" s="2">
        <v>0</v>
      </c>
      <c r="G75" s="20">
        <f t="shared" si="4"/>
        <v>1</v>
      </c>
      <c r="H75" s="8"/>
    </row>
    <row r="76" s="15" customFormat="1" spans="1:8">
      <c r="A76" s="7" t="s">
        <v>46</v>
      </c>
      <c r="B76" s="2">
        <v>112</v>
      </c>
      <c r="C76" s="2" t="s">
        <v>124</v>
      </c>
      <c r="D76" s="7" t="s">
        <v>90</v>
      </c>
      <c r="E76" s="2">
        <v>1</v>
      </c>
      <c r="F76" s="2">
        <v>0</v>
      </c>
      <c r="G76" s="20">
        <f t="shared" si="4"/>
        <v>1</v>
      </c>
      <c r="H76" s="8"/>
    </row>
    <row r="77" s="15" customFormat="1" spans="1:8">
      <c r="A77" s="7" t="s">
        <v>46</v>
      </c>
      <c r="B77" s="2">
        <v>112</v>
      </c>
      <c r="C77" s="2" t="s">
        <v>124</v>
      </c>
      <c r="D77" s="7" t="s">
        <v>89</v>
      </c>
      <c r="E77" s="2">
        <v>1</v>
      </c>
      <c r="F77" s="2">
        <v>0</v>
      </c>
      <c r="G77" s="20">
        <f t="shared" si="4"/>
        <v>1</v>
      </c>
      <c r="H77" s="8"/>
    </row>
    <row r="78" s="15" customFormat="1" spans="1:8">
      <c r="A78" s="7" t="s">
        <v>46</v>
      </c>
      <c r="B78" s="2">
        <v>112</v>
      </c>
      <c r="C78" s="2" t="s">
        <v>124</v>
      </c>
      <c r="D78" s="7" t="s">
        <v>120</v>
      </c>
      <c r="E78" s="2">
        <v>1</v>
      </c>
      <c r="F78" s="2">
        <v>0</v>
      </c>
      <c r="G78" s="20">
        <f t="shared" si="4"/>
        <v>1</v>
      </c>
      <c r="H78" s="8"/>
    </row>
    <row r="79" s="15" customFormat="1" spans="1:8">
      <c r="A79" s="7" t="s">
        <v>46</v>
      </c>
      <c r="B79" s="2">
        <v>112</v>
      </c>
      <c r="C79" s="2" t="s">
        <v>124</v>
      </c>
      <c r="D79" s="7" t="s">
        <v>130</v>
      </c>
      <c r="E79" s="2">
        <v>1</v>
      </c>
      <c r="F79" s="2">
        <v>0</v>
      </c>
      <c r="G79" s="20">
        <f t="shared" si="4"/>
        <v>1</v>
      </c>
      <c r="H79" s="8"/>
    </row>
    <row r="80" s="15" customFormat="1" spans="1:8">
      <c r="A80" s="7" t="s">
        <v>46</v>
      </c>
      <c r="B80" s="2">
        <v>112</v>
      </c>
      <c r="C80" s="2" t="s">
        <v>124</v>
      </c>
      <c r="D80" s="7" t="s">
        <v>67</v>
      </c>
      <c r="E80" s="2">
        <v>1</v>
      </c>
      <c r="F80" s="2">
        <v>0</v>
      </c>
      <c r="G80" s="20">
        <f t="shared" si="4"/>
        <v>1</v>
      </c>
      <c r="H80" s="8"/>
    </row>
    <row r="81" s="15" customFormat="1" spans="1:8">
      <c r="A81" s="7" t="s">
        <v>46</v>
      </c>
      <c r="B81" s="2">
        <v>112</v>
      </c>
      <c r="C81" s="2" t="s">
        <v>124</v>
      </c>
      <c r="D81" s="7" t="s">
        <v>122</v>
      </c>
      <c r="E81" s="2">
        <v>1</v>
      </c>
      <c r="F81" s="2">
        <v>0</v>
      </c>
      <c r="G81" s="20">
        <f t="shared" si="4"/>
        <v>1</v>
      </c>
      <c r="H81" s="8"/>
    </row>
    <row r="82" s="15" customFormat="1" spans="1:8">
      <c r="A82" s="13" t="s">
        <v>46</v>
      </c>
      <c r="B82" s="10">
        <v>112</v>
      </c>
      <c r="C82" s="10" t="s">
        <v>124</v>
      </c>
      <c r="D82" s="13" t="s">
        <v>100</v>
      </c>
      <c r="E82" s="10">
        <v>1</v>
      </c>
      <c r="F82" s="10">
        <v>0</v>
      </c>
      <c r="G82" s="13">
        <f t="shared" si="4"/>
        <v>1</v>
      </c>
      <c r="H82" s="14">
        <f>SUM(G65:G82)</f>
        <v>23</v>
      </c>
    </row>
    <row r="83" s="15" customFormat="1" spans="1:8">
      <c r="A83" s="7" t="s">
        <v>46</v>
      </c>
      <c r="B83" s="2">
        <v>147</v>
      </c>
      <c r="C83" s="2" t="s">
        <v>131</v>
      </c>
      <c r="D83" s="7" t="s">
        <v>129</v>
      </c>
      <c r="E83" s="2">
        <v>3</v>
      </c>
      <c r="F83" s="2">
        <v>0</v>
      </c>
      <c r="G83" s="20">
        <f t="shared" si="4"/>
        <v>3</v>
      </c>
      <c r="H83" s="8"/>
    </row>
    <row r="84" s="15" customFormat="1" spans="1:8">
      <c r="A84" s="7" t="s">
        <v>46</v>
      </c>
      <c r="B84" s="2">
        <v>147</v>
      </c>
      <c r="C84" s="2" t="s">
        <v>131</v>
      </c>
      <c r="D84" s="7" t="s">
        <v>87</v>
      </c>
      <c r="E84" s="2">
        <v>1</v>
      </c>
      <c r="F84" s="2">
        <v>0</v>
      </c>
      <c r="G84" s="20">
        <f t="shared" si="4"/>
        <v>1</v>
      </c>
      <c r="H84" s="8"/>
    </row>
    <row r="85" s="15" customFormat="1" spans="1:8">
      <c r="A85" s="7" t="s">
        <v>46</v>
      </c>
      <c r="B85" s="2">
        <v>147</v>
      </c>
      <c r="C85" s="2" t="s">
        <v>131</v>
      </c>
      <c r="D85" s="7" t="s">
        <v>120</v>
      </c>
      <c r="E85" s="2">
        <v>1</v>
      </c>
      <c r="F85" s="2">
        <v>0</v>
      </c>
      <c r="G85" s="20">
        <f t="shared" si="4"/>
        <v>1</v>
      </c>
      <c r="H85" s="8"/>
    </row>
    <row r="86" s="15" customFormat="1" spans="1:8">
      <c r="A86" s="7" t="s">
        <v>46</v>
      </c>
      <c r="B86" s="2">
        <v>147</v>
      </c>
      <c r="C86" s="2" t="s">
        <v>131</v>
      </c>
      <c r="D86" s="7" t="s">
        <v>67</v>
      </c>
      <c r="E86" s="2">
        <v>1</v>
      </c>
      <c r="F86" s="2">
        <v>0</v>
      </c>
      <c r="G86" s="20">
        <f t="shared" si="4"/>
        <v>1</v>
      </c>
      <c r="H86" s="8"/>
    </row>
    <row r="87" s="15" customFormat="1" spans="1:8">
      <c r="A87" s="7" t="s">
        <v>46</v>
      </c>
      <c r="B87" s="2">
        <v>147</v>
      </c>
      <c r="C87" s="2" t="s">
        <v>131</v>
      </c>
      <c r="D87" s="7" t="s">
        <v>118</v>
      </c>
      <c r="E87" s="2">
        <v>1</v>
      </c>
      <c r="F87" s="2">
        <v>0</v>
      </c>
      <c r="G87" s="20">
        <f t="shared" si="4"/>
        <v>1</v>
      </c>
      <c r="H87" s="8"/>
    </row>
    <row r="88" s="15" customFormat="1" spans="1:8">
      <c r="A88" s="7" t="s">
        <v>46</v>
      </c>
      <c r="B88" s="2">
        <v>147</v>
      </c>
      <c r="C88" s="2" t="s">
        <v>131</v>
      </c>
      <c r="D88" s="7" t="s">
        <v>68</v>
      </c>
      <c r="E88" s="2">
        <v>1</v>
      </c>
      <c r="F88" s="2">
        <v>0</v>
      </c>
      <c r="G88" s="20">
        <f t="shared" si="4"/>
        <v>1</v>
      </c>
      <c r="H88" s="8"/>
    </row>
    <row r="89" s="15" customFormat="1" spans="1:8">
      <c r="A89" s="7" t="s">
        <v>46</v>
      </c>
      <c r="B89" s="2">
        <v>147</v>
      </c>
      <c r="C89" s="2" t="s">
        <v>131</v>
      </c>
      <c r="D89" s="7" t="s">
        <v>62</v>
      </c>
      <c r="E89" s="2">
        <v>1</v>
      </c>
      <c r="F89" s="2">
        <v>0</v>
      </c>
      <c r="G89" s="20">
        <f t="shared" si="4"/>
        <v>1</v>
      </c>
      <c r="H89" s="8"/>
    </row>
    <row r="90" s="15" customFormat="1" spans="1:8">
      <c r="A90" s="7" t="s">
        <v>46</v>
      </c>
      <c r="B90" s="2">
        <v>147</v>
      </c>
      <c r="C90" s="2" t="s">
        <v>131</v>
      </c>
      <c r="D90" s="7" t="s">
        <v>70</v>
      </c>
      <c r="E90" s="2">
        <v>1</v>
      </c>
      <c r="F90" s="2">
        <v>0</v>
      </c>
      <c r="G90" s="20">
        <f t="shared" si="4"/>
        <v>1</v>
      </c>
      <c r="H90" s="8"/>
    </row>
    <row r="91" s="15" customFormat="1" spans="1:8">
      <c r="A91" s="7" t="s">
        <v>46</v>
      </c>
      <c r="B91" s="2">
        <v>147</v>
      </c>
      <c r="C91" s="2" t="s">
        <v>131</v>
      </c>
      <c r="D91" s="7" t="s">
        <v>63</v>
      </c>
      <c r="E91" s="2">
        <v>2</v>
      </c>
      <c r="F91" s="2">
        <v>0</v>
      </c>
      <c r="G91" s="20">
        <f t="shared" si="4"/>
        <v>2</v>
      </c>
      <c r="H91" s="8"/>
    </row>
    <row r="92" s="15" customFormat="1" spans="1:8">
      <c r="A92" s="7" t="s">
        <v>46</v>
      </c>
      <c r="B92" s="2">
        <v>147</v>
      </c>
      <c r="C92" s="2" t="s">
        <v>131</v>
      </c>
      <c r="D92" s="7" t="s">
        <v>61</v>
      </c>
      <c r="E92" s="2">
        <v>1</v>
      </c>
      <c r="F92" s="2">
        <v>0</v>
      </c>
      <c r="G92" s="20">
        <f t="shared" si="4"/>
        <v>1</v>
      </c>
      <c r="H92" s="8"/>
    </row>
    <row r="93" s="15" customFormat="1" spans="1:8">
      <c r="A93" s="7" t="s">
        <v>46</v>
      </c>
      <c r="B93" s="2">
        <v>147</v>
      </c>
      <c r="C93" s="2" t="s">
        <v>131</v>
      </c>
      <c r="D93" s="7" t="s">
        <v>89</v>
      </c>
      <c r="E93" s="2">
        <v>1</v>
      </c>
      <c r="F93" s="2">
        <v>0</v>
      </c>
      <c r="G93" s="20">
        <f t="shared" si="4"/>
        <v>1</v>
      </c>
      <c r="H93" s="8"/>
    </row>
    <row r="94" s="15" customFormat="1" spans="1:8">
      <c r="A94" s="7" t="s">
        <v>46</v>
      </c>
      <c r="B94" s="2">
        <v>147</v>
      </c>
      <c r="C94" s="2" t="s">
        <v>131</v>
      </c>
      <c r="D94" s="7" t="s">
        <v>123</v>
      </c>
      <c r="E94" s="2">
        <v>1</v>
      </c>
      <c r="F94" s="2">
        <v>0</v>
      </c>
      <c r="G94" s="20">
        <f t="shared" si="4"/>
        <v>1</v>
      </c>
      <c r="H94" s="8"/>
    </row>
    <row r="95" s="15" customFormat="1" spans="1:8">
      <c r="A95" s="7" t="s">
        <v>46</v>
      </c>
      <c r="B95" s="2">
        <v>147</v>
      </c>
      <c r="C95" s="2" t="s">
        <v>131</v>
      </c>
      <c r="D95" s="7" t="s">
        <v>103</v>
      </c>
      <c r="E95" s="2">
        <v>1</v>
      </c>
      <c r="F95" s="2">
        <v>0</v>
      </c>
      <c r="G95" s="20">
        <f t="shared" si="4"/>
        <v>1</v>
      </c>
      <c r="H95" s="8"/>
    </row>
    <row r="96" s="15" customFormat="1" spans="1:8">
      <c r="A96" s="13" t="s">
        <v>46</v>
      </c>
      <c r="B96" s="10">
        <v>147</v>
      </c>
      <c r="C96" s="10" t="s">
        <v>131</v>
      </c>
      <c r="D96" s="13" t="s">
        <v>65</v>
      </c>
      <c r="E96" s="10">
        <v>1</v>
      </c>
      <c r="F96" s="10">
        <v>0</v>
      </c>
      <c r="G96" s="13">
        <f t="shared" si="4"/>
        <v>1</v>
      </c>
      <c r="H96" s="14">
        <f>SUM(G83:G96)</f>
        <v>17</v>
      </c>
    </row>
    <row r="97" s="15" customFormat="1" spans="1:8">
      <c r="A97" s="7" t="s">
        <v>46</v>
      </c>
      <c r="B97" s="2">
        <v>174</v>
      </c>
      <c r="C97" s="2" t="s">
        <v>132</v>
      </c>
      <c r="D97" s="7" t="s">
        <v>105</v>
      </c>
      <c r="E97" s="2">
        <v>2</v>
      </c>
      <c r="F97" s="2">
        <v>0</v>
      </c>
      <c r="G97" s="20">
        <f t="shared" si="4"/>
        <v>2</v>
      </c>
      <c r="H97" s="8"/>
    </row>
    <row r="98" s="15" customFormat="1" spans="1:8">
      <c r="A98" s="7" t="s">
        <v>46</v>
      </c>
      <c r="B98" s="2">
        <v>174</v>
      </c>
      <c r="C98" s="2" t="s">
        <v>132</v>
      </c>
      <c r="D98" s="7" t="s">
        <v>62</v>
      </c>
      <c r="E98" s="2">
        <v>2</v>
      </c>
      <c r="F98" s="2">
        <v>0</v>
      </c>
      <c r="G98" s="20">
        <f t="shared" si="4"/>
        <v>2</v>
      </c>
      <c r="H98" s="8"/>
    </row>
    <row r="99" s="15" customFormat="1" spans="1:8">
      <c r="A99" s="7" t="s">
        <v>46</v>
      </c>
      <c r="B99" s="2">
        <v>174</v>
      </c>
      <c r="C99" s="2" t="s">
        <v>132</v>
      </c>
      <c r="D99" s="7" t="s">
        <v>68</v>
      </c>
      <c r="E99" s="2">
        <v>1</v>
      </c>
      <c r="F99" s="2">
        <v>0</v>
      </c>
      <c r="G99" s="20">
        <f t="shared" si="4"/>
        <v>1</v>
      </c>
      <c r="H99" s="8"/>
    </row>
    <row r="100" s="15" customFormat="1" spans="1:8">
      <c r="A100" s="7" t="s">
        <v>46</v>
      </c>
      <c r="B100" s="2">
        <v>174</v>
      </c>
      <c r="C100" s="2" t="s">
        <v>132</v>
      </c>
      <c r="D100" s="7" t="s">
        <v>120</v>
      </c>
      <c r="E100" s="2">
        <v>1</v>
      </c>
      <c r="F100" s="2">
        <v>0</v>
      </c>
      <c r="G100" s="20">
        <f t="shared" si="4"/>
        <v>1</v>
      </c>
      <c r="H100" s="8"/>
    </row>
    <row r="101" s="15" customFormat="1" spans="1:8">
      <c r="A101" s="7" t="s">
        <v>46</v>
      </c>
      <c r="B101" s="2">
        <v>174</v>
      </c>
      <c r="C101" s="2" t="s">
        <v>132</v>
      </c>
      <c r="D101" s="7" t="s">
        <v>110</v>
      </c>
      <c r="E101" s="2">
        <v>1</v>
      </c>
      <c r="F101" s="2">
        <v>0</v>
      </c>
      <c r="G101" s="20">
        <f t="shared" si="4"/>
        <v>1</v>
      </c>
      <c r="H101" s="8"/>
    </row>
    <row r="102" s="15" customFormat="1" spans="1:8">
      <c r="A102" s="13" t="s">
        <v>46</v>
      </c>
      <c r="B102" s="10">
        <v>174</v>
      </c>
      <c r="C102" s="10" t="s">
        <v>132</v>
      </c>
      <c r="D102" s="13" t="s">
        <v>63</v>
      </c>
      <c r="E102" s="10">
        <v>1</v>
      </c>
      <c r="F102" s="10">
        <v>0</v>
      </c>
      <c r="G102" s="13">
        <f t="shared" si="4"/>
        <v>1</v>
      </c>
      <c r="H102" s="14">
        <f>SUM(G97:G102)</f>
        <v>8</v>
      </c>
    </row>
    <row r="103" s="15" customFormat="1" spans="1:8">
      <c r="A103" s="7" t="s">
        <v>49</v>
      </c>
      <c r="B103" s="2">
        <v>2907</v>
      </c>
      <c r="C103" s="2" t="s">
        <v>133</v>
      </c>
      <c r="D103" s="7" t="s">
        <v>67</v>
      </c>
      <c r="E103" s="2">
        <v>2</v>
      </c>
      <c r="F103" s="2">
        <v>0</v>
      </c>
      <c r="G103" s="20">
        <f t="shared" ref="G103:G125" si="5">SUM(E103:F103)</f>
        <v>2</v>
      </c>
      <c r="H103" s="8"/>
    </row>
    <row r="104" s="15" customFormat="1" spans="1:8">
      <c r="A104" s="7" t="s">
        <v>49</v>
      </c>
      <c r="B104" s="2">
        <v>2907</v>
      </c>
      <c r="C104" s="2" t="s">
        <v>133</v>
      </c>
      <c r="D104" s="7" t="s">
        <v>110</v>
      </c>
      <c r="E104" s="2">
        <v>2</v>
      </c>
      <c r="F104" s="2">
        <v>0</v>
      </c>
      <c r="G104" s="20">
        <f t="shared" si="5"/>
        <v>2</v>
      </c>
      <c r="H104" s="8"/>
    </row>
    <row r="105" s="15" customFormat="1" spans="1:8">
      <c r="A105" s="7" t="s">
        <v>49</v>
      </c>
      <c r="B105" s="2">
        <v>2907</v>
      </c>
      <c r="C105" s="2" t="s">
        <v>133</v>
      </c>
      <c r="D105" s="7" t="s">
        <v>72</v>
      </c>
      <c r="E105" s="2">
        <v>1</v>
      </c>
      <c r="F105" s="2">
        <v>0</v>
      </c>
      <c r="G105" s="20">
        <f t="shared" si="5"/>
        <v>1</v>
      </c>
      <c r="H105" s="8"/>
    </row>
    <row r="106" s="15" customFormat="1" spans="1:8">
      <c r="A106" s="7" t="s">
        <v>49</v>
      </c>
      <c r="B106" s="2">
        <v>2907</v>
      </c>
      <c r="C106" s="2" t="s">
        <v>133</v>
      </c>
      <c r="D106" s="7" t="s">
        <v>62</v>
      </c>
      <c r="E106" s="2">
        <v>1</v>
      </c>
      <c r="F106" s="2">
        <v>0</v>
      </c>
      <c r="G106" s="20">
        <f t="shared" si="5"/>
        <v>1</v>
      </c>
      <c r="H106" s="8"/>
    </row>
    <row r="107" s="15" customFormat="1" spans="1:8">
      <c r="A107" s="7" t="s">
        <v>49</v>
      </c>
      <c r="B107" s="2">
        <v>2907</v>
      </c>
      <c r="C107" s="2" t="s">
        <v>133</v>
      </c>
      <c r="D107" s="7" t="s">
        <v>134</v>
      </c>
      <c r="E107" s="2">
        <v>1</v>
      </c>
      <c r="F107" s="2">
        <v>0</v>
      </c>
      <c r="G107" s="20">
        <f t="shared" si="5"/>
        <v>1</v>
      </c>
      <c r="H107" s="8"/>
    </row>
    <row r="108" s="15" customFormat="1" spans="1:8">
      <c r="A108" s="7" t="s">
        <v>49</v>
      </c>
      <c r="B108" s="2">
        <v>2907</v>
      </c>
      <c r="C108" s="2" t="s">
        <v>133</v>
      </c>
      <c r="D108" s="7" t="s">
        <v>80</v>
      </c>
      <c r="E108" s="2">
        <v>1</v>
      </c>
      <c r="F108" s="2">
        <v>0</v>
      </c>
      <c r="G108" s="20">
        <f t="shared" si="5"/>
        <v>1</v>
      </c>
      <c r="H108" s="8"/>
    </row>
    <row r="109" s="15" customFormat="1" spans="1:8">
      <c r="A109" s="13" t="s">
        <v>49</v>
      </c>
      <c r="B109" s="10">
        <v>2907</v>
      </c>
      <c r="C109" s="10" t="s">
        <v>133</v>
      </c>
      <c r="D109" s="13" t="s">
        <v>63</v>
      </c>
      <c r="E109" s="10">
        <v>1</v>
      </c>
      <c r="F109" s="10">
        <v>0</v>
      </c>
      <c r="G109" s="13">
        <f t="shared" si="5"/>
        <v>1</v>
      </c>
      <c r="H109" s="14">
        <f>SUM(G103:G109)</f>
        <v>9</v>
      </c>
    </row>
    <row r="110" s="15" customFormat="1" spans="1:8">
      <c r="A110" s="7" t="s">
        <v>49</v>
      </c>
      <c r="B110" s="2">
        <v>2339</v>
      </c>
      <c r="C110" s="2" t="s">
        <v>135</v>
      </c>
      <c r="D110" s="7" t="s">
        <v>134</v>
      </c>
      <c r="E110" s="2">
        <v>1</v>
      </c>
      <c r="F110" s="2">
        <v>0</v>
      </c>
      <c r="G110" s="20">
        <f t="shared" si="5"/>
        <v>1</v>
      </c>
      <c r="H110" s="8"/>
    </row>
    <row r="111" s="15" customFormat="1" spans="1:8">
      <c r="A111" s="7" t="s">
        <v>49</v>
      </c>
      <c r="B111" s="2">
        <v>2339</v>
      </c>
      <c r="C111" s="2" t="s">
        <v>135</v>
      </c>
      <c r="D111" s="7" t="s">
        <v>80</v>
      </c>
      <c r="E111" s="2">
        <v>1</v>
      </c>
      <c r="F111" s="2">
        <v>0</v>
      </c>
      <c r="G111" s="20">
        <f t="shared" si="5"/>
        <v>1</v>
      </c>
      <c r="H111" s="8"/>
    </row>
    <row r="112" s="15" customFormat="1" spans="1:8">
      <c r="A112" s="7" t="s">
        <v>49</v>
      </c>
      <c r="B112" s="2">
        <v>2339</v>
      </c>
      <c r="C112" s="2" t="s">
        <v>135</v>
      </c>
      <c r="D112" s="7" t="s">
        <v>61</v>
      </c>
      <c r="E112" s="2">
        <v>1</v>
      </c>
      <c r="F112" s="2">
        <v>0</v>
      </c>
      <c r="G112" s="20">
        <f t="shared" si="5"/>
        <v>1</v>
      </c>
      <c r="H112" s="8"/>
    </row>
    <row r="113" s="15" customFormat="1" spans="1:8">
      <c r="A113" s="7" t="s">
        <v>49</v>
      </c>
      <c r="B113" s="2">
        <v>2339</v>
      </c>
      <c r="C113" s="2" t="s">
        <v>135</v>
      </c>
      <c r="D113" s="7" t="s">
        <v>78</v>
      </c>
      <c r="E113" s="2">
        <v>1</v>
      </c>
      <c r="F113" s="2">
        <v>0</v>
      </c>
      <c r="G113" s="20">
        <f t="shared" si="5"/>
        <v>1</v>
      </c>
      <c r="H113" s="8"/>
    </row>
    <row r="114" s="15" customFormat="1" spans="1:8">
      <c r="A114" s="13" t="s">
        <v>49</v>
      </c>
      <c r="B114" s="10">
        <v>2339</v>
      </c>
      <c r="C114" s="10" t="s">
        <v>135</v>
      </c>
      <c r="D114" s="13" t="s">
        <v>62</v>
      </c>
      <c r="E114" s="10">
        <v>1</v>
      </c>
      <c r="F114" s="10">
        <v>0</v>
      </c>
      <c r="G114" s="13">
        <f t="shared" si="5"/>
        <v>1</v>
      </c>
      <c r="H114" s="14">
        <f>SUM(G110:G114)</f>
        <v>5</v>
      </c>
    </row>
    <row r="115" s="15" customFormat="1" spans="1:8">
      <c r="A115" s="20" t="s">
        <v>49</v>
      </c>
      <c r="B115" s="55" t="s">
        <v>136</v>
      </c>
      <c r="C115" s="20" t="s">
        <v>137</v>
      </c>
      <c r="D115" s="7" t="s">
        <v>80</v>
      </c>
      <c r="E115" s="2">
        <v>2</v>
      </c>
      <c r="F115" s="2">
        <v>0</v>
      </c>
      <c r="G115" s="20">
        <f t="shared" si="5"/>
        <v>2</v>
      </c>
    </row>
    <row r="116" s="15" customFormat="1" spans="1:8">
      <c r="A116" s="20" t="s">
        <v>49</v>
      </c>
      <c r="B116" s="55" t="s">
        <v>136</v>
      </c>
      <c r="C116" s="20" t="s">
        <v>137</v>
      </c>
      <c r="D116" s="7" t="s">
        <v>78</v>
      </c>
      <c r="E116" s="2">
        <v>1</v>
      </c>
      <c r="F116" s="2">
        <v>0</v>
      </c>
      <c r="G116" s="20">
        <f t="shared" si="5"/>
        <v>1</v>
      </c>
    </row>
    <row r="117" s="15" customFormat="1" spans="1:8">
      <c r="A117" s="20" t="s">
        <v>49</v>
      </c>
      <c r="B117" s="55" t="s">
        <v>136</v>
      </c>
      <c r="C117" s="20" t="s">
        <v>137</v>
      </c>
      <c r="D117" s="7" t="s">
        <v>138</v>
      </c>
      <c r="E117" s="2">
        <v>1</v>
      </c>
      <c r="F117" s="2">
        <v>0</v>
      </c>
      <c r="G117" s="20">
        <f t="shared" si="5"/>
        <v>1</v>
      </c>
    </row>
    <row r="118" s="15" customFormat="1" spans="1:8">
      <c r="A118" s="20" t="s">
        <v>49</v>
      </c>
      <c r="B118" s="55" t="s">
        <v>136</v>
      </c>
      <c r="C118" s="20" t="s">
        <v>137</v>
      </c>
      <c r="D118" s="7" t="s">
        <v>139</v>
      </c>
      <c r="E118" s="2">
        <v>1</v>
      </c>
      <c r="F118" s="2">
        <v>0</v>
      </c>
      <c r="G118" s="20">
        <f t="shared" si="5"/>
        <v>1</v>
      </c>
    </row>
    <row r="119" s="15" customFormat="1" spans="1:8">
      <c r="A119" s="20" t="s">
        <v>49</v>
      </c>
      <c r="B119" s="55" t="s">
        <v>136</v>
      </c>
      <c r="C119" s="20" t="s">
        <v>137</v>
      </c>
      <c r="D119" s="7" t="s">
        <v>134</v>
      </c>
      <c r="E119" s="2">
        <v>1</v>
      </c>
      <c r="F119" s="2">
        <v>0</v>
      </c>
      <c r="G119" s="20">
        <f t="shared" si="5"/>
        <v>1</v>
      </c>
    </row>
    <row r="120" s="15" customFormat="1" spans="1:8">
      <c r="A120" s="20" t="s">
        <v>49</v>
      </c>
      <c r="B120" s="55" t="s">
        <v>136</v>
      </c>
      <c r="C120" s="20" t="s">
        <v>137</v>
      </c>
      <c r="D120" s="7" t="s">
        <v>101</v>
      </c>
      <c r="E120" s="2">
        <v>1</v>
      </c>
      <c r="F120" s="2">
        <v>0</v>
      </c>
      <c r="G120" s="20">
        <f t="shared" si="5"/>
        <v>1</v>
      </c>
    </row>
    <row r="121" s="15" customFormat="1" spans="1:8">
      <c r="A121" s="20" t="s">
        <v>49</v>
      </c>
      <c r="B121" s="55" t="s">
        <v>136</v>
      </c>
      <c r="C121" s="20" t="s">
        <v>137</v>
      </c>
      <c r="D121" s="7" t="s">
        <v>125</v>
      </c>
      <c r="E121" s="2">
        <v>1</v>
      </c>
      <c r="F121" s="2">
        <v>0</v>
      </c>
      <c r="G121" s="20">
        <f t="shared" si="5"/>
        <v>1</v>
      </c>
    </row>
    <row r="122" s="15" customFormat="1" spans="1:8">
      <c r="A122" s="20" t="s">
        <v>49</v>
      </c>
      <c r="B122" s="55" t="s">
        <v>136</v>
      </c>
      <c r="C122" s="20" t="s">
        <v>137</v>
      </c>
      <c r="D122" s="7" t="s">
        <v>87</v>
      </c>
      <c r="E122" s="2">
        <v>1</v>
      </c>
      <c r="F122" s="2">
        <v>0</v>
      </c>
      <c r="G122" s="20">
        <f t="shared" si="5"/>
        <v>1</v>
      </c>
    </row>
    <row r="123" s="15" customFormat="1" spans="1:8">
      <c r="A123" s="20" t="s">
        <v>49</v>
      </c>
      <c r="B123" s="55" t="s">
        <v>136</v>
      </c>
      <c r="C123" s="20" t="s">
        <v>137</v>
      </c>
      <c r="D123" s="7" t="s">
        <v>69</v>
      </c>
      <c r="E123" s="2">
        <v>2</v>
      </c>
      <c r="F123" s="2">
        <v>0</v>
      </c>
      <c r="G123" s="20">
        <f t="shared" si="5"/>
        <v>2</v>
      </c>
    </row>
    <row r="124" s="15" customFormat="1" spans="1:8">
      <c r="A124" s="20" t="s">
        <v>49</v>
      </c>
      <c r="B124" s="55" t="s">
        <v>136</v>
      </c>
      <c r="C124" s="20" t="s">
        <v>137</v>
      </c>
      <c r="D124" s="7" t="s">
        <v>140</v>
      </c>
      <c r="E124" s="2">
        <v>1</v>
      </c>
      <c r="F124" s="2">
        <v>0</v>
      </c>
      <c r="G124" s="20">
        <f t="shared" si="5"/>
        <v>1</v>
      </c>
    </row>
    <row r="125" s="15" customFormat="1" spans="1:8">
      <c r="A125" s="20" t="s">
        <v>49</v>
      </c>
      <c r="B125" s="55" t="s">
        <v>136</v>
      </c>
      <c r="C125" s="20" t="s">
        <v>137</v>
      </c>
      <c r="D125" s="7" t="s">
        <v>67</v>
      </c>
      <c r="E125" s="2">
        <v>1</v>
      </c>
      <c r="F125" s="2">
        <v>0</v>
      </c>
      <c r="G125" s="20">
        <f t="shared" si="5"/>
        <v>1</v>
      </c>
      <c r="H125" s="8"/>
    </row>
    <row r="126" spans="1:8">
      <c r="A126" s="20" t="s">
        <v>49</v>
      </c>
      <c r="B126" s="55" t="s">
        <v>136</v>
      </c>
      <c r="C126" s="20" t="s">
        <v>137</v>
      </c>
      <c r="D126" s="7" t="s">
        <v>110</v>
      </c>
      <c r="E126" s="2">
        <v>2</v>
      </c>
      <c r="F126" s="2">
        <v>0</v>
      </c>
      <c r="G126" s="20">
        <f t="shared" ref="G126:G135" si="6">SUM(E126:F126)</f>
        <v>2</v>
      </c>
    </row>
    <row r="127" spans="1:8">
      <c r="A127" s="20" t="s">
        <v>49</v>
      </c>
      <c r="B127" s="55" t="s">
        <v>136</v>
      </c>
      <c r="C127" s="20" t="s">
        <v>137</v>
      </c>
      <c r="D127" s="20" t="s">
        <v>71</v>
      </c>
      <c r="E127" s="2">
        <v>2</v>
      </c>
      <c r="F127" s="2">
        <v>0</v>
      </c>
      <c r="G127" s="20">
        <f t="shared" si="6"/>
        <v>2</v>
      </c>
    </row>
    <row r="128" spans="1:8">
      <c r="A128" s="20" t="s">
        <v>49</v>
      </c>
      <c r="B128" s="55" t="s">
        <v>136</v>
      </c>
      <c r="C128" s="20" t="s">
        <v>137</v>
      </c>
      <c r="D128" s="20" t="s">
        <v>61</v>
      </c>
      <c r="E128" s="2">
        <v>1</v>
      </c>
      <c r="F128" s="2">
        <v>0</v>
      </c>
      <c r="G128" s="20">
        <f t="shared" si="6"/>
        <v>1</v>
      </c>
    </row>
    <row r="129" spans="1:8">
      <c r="A129" s="13" t="s">
        <v>49</v>
      </c>
      <c r="B129" s="56" t="s">
        <v>136</v>
      </c>
      <c r="C129" s="13" t="s">
        <v>137</v>
      </c>
      <c r="D129" s="13" t="s">
        <v>62</v>
      </c>
      <c r="E129" s="10">
        <v>2</v>
      </c>
      <c r="F129" s="10">
        <v>0</v>
      </c>
      <c r="G129" s="13">
        <f t="shared" si="6"/>
        <v>2</v>
      </c>
      <c r="H129" s="14">
        <f>SUM(G115:G129)</f>
        <v>20</v>
      </c>
    </row>
    <row r="130" spans="1:8">
      <c r="A130" s="20" t="s">
        <v>49</v>
      </c>
      <c r="B130" s="20">
        <v>2009</v>
      </c>
      <c r="C130" s="20" t="s">
        <v>141</v>
      </c>
      <c r="D130" s="20" t="s">
        <v>80</v>
      </c>
      <c r="E130" s="2">
        <v>2</v>
      </c>
      <c r="F130" s="2">
        <v>0</v>
      </c>
      <c r="G130" s="20">
        <f t="shared" si="6"/>
        <v>2</v>
      </c>
    </row>
    <row r="131" spans="1:8">
      <c r="A131" s="20" t="s">
        <v>49</v>
      </c>
      <c r="B131" s="20">
        <v>2009</v>
      </c>
      <c r="C131" s="20" t="s">
        <v>141</v>
      </c>
      <c r="D131" s="20" t="s">
        <v>139</v>
      </c>
      <c r="E131" s="2">
        <v>2</v>
      </c>
      <c r="F131" s="2">
        <v>0</v>
      </c>
      <c r="G131" s="20">
        <f t="shared" si="6"/>
        <v>2</v>
      </c>
    </row>
    <row r="132" spans="1:8">
      <c r="A132" s="20" t="s">
        <v>49</v>
      </c>
      <c r="B132" s="20">
        <v>2009</v>
      </c>
      <c r="C132" s="20" t="s">
        <v>141</v>
      </c>
      <c r="D132" s="20" t="s">
        <v>122</v>
      </c>
      <c r="E132" s="2">
        <v>1</v>
      </c>
      <c r="F132" s="2">
        <v>0</v>
      </c>
      <c r="G132" s="20">
        <f t="shared" si="6"/>
        <v>1</v>
      </c>
    </row>
    <row r="133" spans="1:8">
      <c r="A133" s="20" t="s">
        <v>49</v>
      </c>
      <c r="B133" s="20">
        <v>2009</v>
      </c>
      <c r="C133" s="20" t="s">
        <v>141</v>
      </c>
      <c r="D133" s="20" t="s">
        <v>62</v>
      </c>
      <c r="E133" s="2">
        <v>1</v>
      </c>
      <c r="F133" s="2">
        <v>0</v>
      </c>
      <c r="G133" s="20">
        <f t="shared" si="6"/>
        <v>1</v>
      </c>
    </row>
    <row r="134" spans="1:8">
      <c r="A134" s="20" t="s">
        <v>49</v>
      </c>
      <c r="B134" s="20">
        <v>2009</v>
      </c>
      <c r="C134" s="20" t="s">
        <v>141</v>
      </c>
      <c r="D134" s="20" t="s">
        <v>125</v>
      </c>
      <c r="E134" s="2">
        <v>1</v>
      </c>
      <c r="F134" s="2">
        <v>0</v>
      </c>
      <c r="G134" s="20">
        <f t="shared" si="6"/>
        <v>1</v>
      </c>
    </row>
    <row r="135" spans="1:8">
      <c r="A135" s="13" t="s">
        <v>49</v>
      </c>
      <c r="B135" s="13">
        <v>2009</v>
      </c>
      <c r="C135" s="13" t="s">
        <v>141</v>
      </c>
      <c r="D135" s="13" t="s">
        <v>61</v>
      </c>
      <c r="E135" s="10">
        <v>2</v>
      </c>
      <c r="F135" s="10">
        <v>0</v>
      </c>
      <c r="G135" s="13">
        <f t="shared" si="6"/>
        <v>2</v>
      </c>
      <c r="H135" s="14">
        <f>SUM(G130:G135)</f>
        <v>9</v>
      </c>
    </row>
    <row r="136" spans="1:8">
      <c r="A136" s="13" t="s">
        <v>142</v>
      </c>
      <c r="B136" s="13" t="s">
        <v>143</v>
      </c>
      <c r="C136" s="13" t="s">
        <v>144</v>
      </c>
      <c r="D136" s="13" t="s">
        <v>61</v>
      </c>
      <c r="E136" s="10">
        <v>1</v>
      </c>
      <c r="F136" s="10">
        <v>0</v>
      </c>
      <c r="G136" s="13">
        <f t="shared" ref="G136:G145" si="7">SUM(E136:F136)</f>
        <v>1</v>
      </c>
      <c r="H136" s="14">
        <f>G136</f>
        <v>1</v>
      </c>
    </row>
    <row r="137" spans="1:8">
      <c r="A137" s="20" t="s">
        <v>49</v>
      </c>
      <c r="B137" s="20">
        <v>2017</v>
      </c>
      <c r="C137" s="20" t="s">
        <v>145</v>
      </c>
      <c r="D137" s="20" t="s">
        <v>101</v>
      </c>
      <c r="E137" s="2">
        <v>1</v>
      </c>
      <c r="F137" s="2">
        <v>0</v>
      </c>
      <c r="G137" s="20">
        <f t="shared" si="7"/>
        <v>1</v>
      </c>
    </row>
    <row r="138" spans="1:8">
      <c r="A138" s="13" t="s">
        <v>49</v>
      </c>
      <c r="B138" s="13">
        <v>2017</v>
      </c>
      <c r="C138" s="13" t="s">
        <v>145</v>
      </c>
      <c r="D138" s="13" t="s">
        <v>146</v>
      </c>
      <c r="E138" s="10">
        <v>2</v>
      </c>
      <c r="F138" s="10">
        <v>0</v>
      </c>
      <c r="G138" s="13">
        <f t="shared" si="7"/>
        <v>2</v>
      </c>
      <c r="H138" s="16">
        <f>SUM(G137:G138)</f>
        <v>3</v>
      </c>
    </row>
    <row r="139" spans="1:8">
      <c r="A139" s="20" t="s">
        <v>49</v>
      </c>
      <c r="B139" s="20">
        <v>208</v>
      </c>
      <c r="C139" s="20"/>
      <c r="D139" s="20" t="s">
        <v>105</v>
      </c>
      <c r="E139" s="2">
        <v>1</v>
      </c>
      <c r="F139" s="2">
        <v>0</v>
      </c>
      <c r="G139" s="20">
        <f t="shared" si="7"/>
        <v>1</v>
      </c>
    </row>
    <row r="140" spans="1:8">
      <c r="A140" s="20" t="s">
        <v>49</v>
      </c>
      <c r="B140" s="20">
        <v>208</v>
      </c>
      <c r="C140" s="20"/>
      <c r="D140" s="20" t="s">
        <v>139</v>
      </c>
      <c r="E140" s="2">
        <v>1</v>
      </c>
      <c r="F140" s="2">
        <v>0</v>
      </c>
      <c r="G140" s="20">
        <f t="shared" si="7"/>
        <v>1</v>
      </c>
    </row>
    <row r="141" spans="1:8">
      <c r="A141" s="13" t="s">
        <v>49</v>
      </c>
      <c r="B141" s="13">
        <v>208</v>
      </c>
      <c r="C141" s="13"/>
      <c r="D141" s="13" t="s">
        <v>63</v>
      </c>
      <c r="E141" s="10">
        <v>1</v>
      </c>
      <c r="F141" s="10">
        <v>0</v>
      </c>
      <c r="G141" s="13">
        <f t="shared" si="7"/>
        <v>1</v>
      </c>
      <c r="H141" s="16">
        <f>SUM(G139:G141)</f>
        <v>3</v>
      </c>
    </row>
    <row r="142" spans="1:8">
      <c r="A142" s="20" t="s">
        <v>49</v>
      </c>
      <c r="B142" s="20">
        <v>2970</v>
      </c>
      <c r="C142" s="20"/>
      <c r="D142" s="20" t="s">
        <v>62</v>
      </c>
      <c r="E142" s="2">
        <v>2</v>
      </c>
      <c r="F142" s="2">
        <v>0</v>
      </c>
      <c r="G142" s="20">
        <f t="shared" si="7"/>
        <v>2</v>
      </c>
    </row>
    <row r="143" spans="1:8">
      <c r="A143" s="20" t="s">
        <v>49</v>
      </c>
      <c r="B143" s="20">
        <v>2970</v>
      </c>
      <c r="C143" s="20"/>
      <c r="D143" s="20" t="s">
        <v>78</v>
      </c>
      <c r="E143" s="2">
        <v>3</v>
      </c>
      <c r="F143" s="2">
        <v>0</v>
      </c>
      <c r="G143" s="20">
        <f t="shared" si="7"/>
        <v>3</v>
      </c>
    </row>
    <row r="144" spans="1:8">
      <c r="A144" s="20" t="s">
        <v>49</v>
      </c>
      <c r="B144" s="20">
        <v>2970</v>
      </c>
      <c r="C144" s="20"/>
      <c r="D144" s="20" t="s">
        <v>71</v>
      </c>
      <c r="E144" s="2">
        <v>1</v>
      </c>
      <c r="F144" s="2">
        <v>0</v>
      </c>
      <c r="G144" s="20">
        <f t="shared" si="7"/>
        <v>1</v>
      </c>
    </row>
    <row r="145" spans="1:8">
      <c r="A145" s="20" t="s">
        <v>49</v>
      </c>
      <c r="B145" s="20">
        <v>2970</v>
      </c>
      <c r="C145" s="20"/>
      <c r="D145" s="20" t="s">
        <v>80</v>
      </c>
      <c r="E145" s="2">
        <v>3</v>
      </c>
      <c r="F145" s="2">
        <v>0</v>
      </c>
      <c r="G145" s="20">
        <f t="shared" si="7"/>
        <v>3</v>
      </c>
    </row>
    <row r="146" spans="1:8">
      <c r="A146" s="20" t="s">
        <v>49</v>
      </c>
      <c r="B146" s="20">
        <v>2970</v>
      </c>
      <c r="C146" s="20"/>
      <c r="D146" s="20" t="s">
        <v>134</v>
      </c>
      <c r="E146" s="2">
        <v>2</v>
      </c>
      <c r="F146" s="2">
        <v>0</v>
      </c>
      <c r="G146" s="20">
        <f t="shared" ref="G146:G151" si="8">SUM(E146:F146)</f>
        <v>2</v>
      </c>
    </row>
    <row r="147" spans="1:8">
      <c r="A147" s="20" t="s">
        <v>49</v>
      </c>
      <c r="B147" s="20">
        <v>2970</v>
      </c>
      <c r="C147" s="20"/>
      <c r="D147" s="20" t="s">
        <v>69</v>
      </c>
      <c r="E147" s="2">
        <v>1</v>
      </c>
      <c r="F147" s="2">
        <v>0</v>
      </c>
      <c r="G147" s="20">
        <f t="shared" si="8"/>
        <v>1</v>
      </c>
    </row>
    <row r="148" spans="1:8">
      <c r="A148" s="20" t="s">
        <v>49</v>
      </c>
      <c r="B148" s="20">
        <v>2970</v>
      </c>
      <c r="C148" s="20"/>
      <c r="D148" s="20" t="s">
        <v>82</v>
      </c>
      <c r="E148" s="2">
        <v>1</v>
      </c>
      <c r="F148" s="2">
        <v>0</v>
      </c>
      <c r="G148" s="20">
        <f t="shared" si="8"/>
        <v>1</v>
      </c>
    </row>
    <row r="149" spans="1:8">
      <c r="A149" s="20" t="s">
        <v>49</v>
      </c>
      <c r="B149" s="20">
        <v>2970</v>
      </c>
      <c r="C149" s="20"/>
      <c r="D149" s="20" t="s">
        <v>110</v>
      </c>
      <c r="E149" s="2">
        <v>1</v>
      </c>
      <c r="F149" s="2">
        <v>0</v>
      </c>
      <c r="G149" s="20">
        <f t="shared" si="8"/>
        <v>1</v>
      </c>
    </row>
    <row r="150" spans="1:8">
      <c r="A150" s="13" t="s">
        <v>49</v>
      </c>
      <c r="B150" s="13">
        <v>2970</v>
      </c>
      <c r="C150" s="13"/>
      <c r="D150" s="13" t="s">
        <v>105</v>
      </c>
      <c r="E150" s="10">
        <v>1</v>
      </c>
      <c r="F150" s="10">
        <v>0</v>
      </c>
      <c r="G150" s="13">
        <f t="shared" si="8"/>
        <v>1</v>
      </c>
      <c r="H150" s="16">
        <f>SUM(G142:G150)</f>
        <v>15</v>
      </c>
    </row>
    <row r="151" spans="1:8">
      <c r="A151" s="20" t="s">
        <v>49</v>
      </c>
      <c r="B151" s="20">
        <v>3003</v>
      </c>
      <c r="C151" s="20"/>
      <c r="D151" s="20" t="s">
        <v>122</v>
      </c>
      <c r="E151" s="20">
        <v>1</v>
      </c>
      <c r="F151" s="2">
        <v>0</v>
      </c>
      <c r="G151" s="20">
        <f t="shared" si="8"/>
        <v>1</v>
      </c>
    </row>
    <row r="152" spans="1:8">
      <c r="A152" s="20" t="s">
        <v>49</v>
      </c>
      <c r="B152" s="20">
        <v>3003</v>
      </c>
      <c r="C152" s="20"/>
      <c r="D152" s="20" t="s">
        <v>80</v>
      </c>
      <c r="E152" s="20">
        <v>2</v>
      </c>
      <c r="F152" s="2">
        <v>0</v>
      </c>
      <c r="G152" s="20">
        <f t="shared" ref="G152:G161" si="9">SUM(E152:F152)</f>
        <v>2</v>
      </c>
    </row>
    <row r="153" spans="1:8">
      <c r="A153" s="33" t="s">
        <v>49</v>
      </c>
      <c r="B153" s="16">
        <v>3003</v>
      </c>
      <c r="C153" s="16"/>
      <c r="D153" s="16" t="s">
        <v>139</v>
      </c>
      <c r="E153" s="16">
        <v>1</v>
      </c>
      <c r="F153" s="34">
        <v>0</v>
      </c>
      <c r="G153" s="33">
        <f t="shared" si="9"/>
        <v>1</v>
      </c>
      <c r="H153" s="16">
        <f>SUM(G151:G153)</f>
        <v>4</v>
      </c>
    </row>
    <row r="154" spans="1:8">
      <c r="A154" s="20" t="s">
        <v>49</v>
      </c>
      <c r="B154" s="20">
        <v>8162</v>
      </c>
      <c r="C154" s="20"/>
      <c r="D154" s="20" t="s">
        <v>71</v>
      </c>
      <c r="E154" s="2">
        <v>1</v>
      </c>
      <c r="F154" s="2">
        <v>0</v>
      </c>
      <c r="G154" s="20">
        <f t="shared" si="9"/>
        <v>1</v>
      </c>
    </row>
    <row r="155" spans="1:8">
      <c r="A155" s="13" t="s">
        <v>49</v>
      </c>
      <c r="B155" s="13">
        <v>8162</v>
      </c>
      <c r="C155" s="13"/>
      <c r="D155" s="13" t="s">
        <v>87</v>
      </c>
      <c r="E155" s="10">
        <v>1</v>
      </c>
      <c r="F155" s="10">
        <v>0</v>
      </c>
      <c r="G155" s="13">
        <f t="shared" si="9"/>
        <v>1</v>
      </c>
      <c r="H155" s="16">
        <f>SUM(G154:G155)</f>
        <v>2</v>
      </c>
    </row>
    <row r="156" spans="1:8">
      <c r="A156" s="20" t="s">
        <v>49</v>
      </c>
      <c r="B156" s="20" t="s">
        <v>147</v>
      </c>
      <c r="C156" s="20"/>
      <c r="D156" s="20" t="s">
        <v>122</v>
      </c>
      <c r="E156" s="2">
        <v>1</v>
      </c>
      <c r="F156" s="2">
        <v>0</v>
      </c>
      <c r="G156" s="20">
        <f t="shared" si="9"/>
        <v>1</v>
      </c>
    </row>
    <row r="157" spans="1:8">
      <c r="A157" s="20" t="s">
        <v>49</v>
      </c>
      <c r="B157" s="20" t="s">
        <v>147</v>
      </c>
      <c r="C157" s="20"/>
      <c r="D157" s="20" t="s">
        <v>86</v>
      </c>
      <c r="E157" s="2">
        <v>1</v>
      </c>
      <c r="F157" s="2">
        <v>0</v>
      </c>
      <c r="G157" s="20">
        <f t="shared" si="9"/>
        <v>1</v>
      </c>
    </row>
    <row r="158" spans="1:8">
      <c r="A158" s="20" t="s">
        <v>49</v>
      </c>
      <c r="B158" s="20" t="s">
        <v>147</v>
      </c>
      <c r="C158" s="20"/>
      <c r="D158" s="20" t="s">
        <v>87</v>
      </c>
      <c r="E158" s="2">
        <v>1</v>
      </c>
      <c r="F158" s="2">
        <v>0</v>
      </c>
      <c r="G158" s="20">
        <f t="shared" si="9"/>
        <v>1</v>
      </c>
    </row>
    <row r="159" spans="1:8">
      <c r="A159" s="20" t="s">
        <v>49</v>
      </c>
      <c r="B159" s="20" t="s">
        <v>147</v>
      </c>
      <c r="C159" s="20"/>
      <c r="D159" s="20" t="s">
        <v>105</v>
      </c>
      <c r="E159" s="2">
        <v>1</v>
      </c>
      <c r="F159" s="2">
        <v>0</v>
      </c>
      <c r="G159" s="20">
        <f t="shared" si="9"/>
        <v>1</v>
      </c>
    </row>
    <row r="160" spans="1:8">
      <c r="A160" s="20" t="s">
        <v>49</v>
      </c>
      <c r="B160" s="20" t="s">
        <v>147</v>
      </c>
      <c r="C160" s="20"/>
      <c r="D160" s="20" t="s">
        <v>78</v>
      </c>
      <c r="E160" s="2">
        <v>1</v>
      </c>
      <c r="F160" s="2">
        <v>0</v>
      </c>
      <c r="G160" s="20">
        <f t="shared" si="9"/>
        <v>1</v>
      </c>
    </row>
    <row r="161" spans="1:8">
      <c r="A161" s="13" t="s">
        <v>49</v>
      </c>
      <c r="B161" s="13" t="s">
        <v>147</v>
      </c>
      <c r="C161" s="13"/>
      <c r="D161" s="13" t="s">
        <v>148</v>
      </c>
      <c r="E161" s="10">
        <v>1</v>
      </c>
      <c r="F161" s="10">
        <v>0</v>
      </c>
      <c r="G161" s="13">
        <f t="shared" si="9"/>
        <v>1</v>
      </c>
      <c r="H161" s="16">
        <f>SUM(G156:G161)</f>
        <v>6</v>
      </c>
    </row>
    <row r="162" spans="1:8">
      <c r="A162" s="20" t="s">
        <v>49</v>
      </c>
      <c r="B162" s="20">
        <v>5010</v>
      </c>
      <c r="C162" s="20"/>
      <c r="D162" s="20" t="s">
        <v>78</v>
      </c>
      <c r="E162" s="2">
        <v>1</v>
      </c>
      <c r="F162" s="2">
        <v>0</v>
      </c>
      <c r="G162" s="20">
        <f t="shared" ref="G162:G165" si="10">SUM(E162:F162)</f>
        <v>1</v>
      </c>
    </row>
    <row r="163" spans="1:8">
      <c r="A163" s="20" t="s">
        <v>49</v>
      </c>
      <c r="B163" s="20">
        <v>5010</v>
      </c>
      <c r="C163" s="20"/>
      <c r="D163" s="20" t="s">
        <v>86</v>
      </c>
      <c r="E163" s="2">
        <v>1</v>
      </c>
      <c r="F163" s="2">
        <v>0</v>
      </c>
      <c r="G163" s="20">
        <f t="shared" si="10"/>
        <v>1</v>
      </c>
    </row>
    <row r="164" spans="1:8">
      <c r="A164" s="20" t="s">
        <v>49</v>
      </c>
      <c r="B164" s="20">
        <v>5010</v>
      </c>
      <c r="C164" s="20"/>
      <c r="D164" s="20" t="s">
        <v>80</v>
      </c>
      <c r="E164" s="2">
        <v>1</v>
      </c>
      <c r="F164" s="2">
        <v>0</v>
      </c>
      <c r="G164" s="20">
        <f t="shared" si="10"/>
        <v>1</v>
      </c>
    </row>
    <row r="165" spans="1:8">
      <c r="A165" s="13" t="s">
        <v>49</v>
      </c>
      <c r="B165" s="13">
        <v>5010</v>
      </c>
      <c r="C165" s="13"/>
      <c r="D165" s="13" t="s">
        <v>90</v>
      </c>
      <c r="E165" s="10">
        <v>1</v>
      </c>
      <c r="F165" s="10">
        <v>0</v>
      </c>
      <c r="G165" s="13">
        <f t="shared" si="10"/>
        <v>1</v>
      </c>
      <c r="H165" s="16">
        <f>SUM(G162:G165)</f>
        <v>4</v>
      </c>
    </row>
    <row r="166" spans="1:8">
      <c r="A166" s="20" t="s">
        <v>49</v>
      </c>
      <c r="B166" s="20">
        <v>2127</v>
      </c>
      <c r="C166" s="20"/>
      <c r="D166" s="20" t="s">
        <v>80</v>
      </c>
      <c r="E166" s="2">
        <v>1</v>
      </c>
      <c r="F166" s="2">
        <v>0</v>
      </c>
      <c r="G166" s="20">
        <f t="shared" ref="G166:G170" si="11">SUM(E166:F166)</f>
        <v>1</v>
      </c>
    </row>
    <row r="167" spans="1:8">
      <c r="A167" s="20" t="s">
        <v>49</v>
      </c>
      <c r="B167" s="20">
        <v>2127</v>
      </c>
      <c r="C167" s="20"/>
      <c r="D167" s="20" t="s">
        <v>78</v>
      </c>
      <c r="E167" s="2">
        <v>1</v>
      </c>
      <c r="F167" s="2">
        <v>0</v>
      </c>
      <c r="G167" s="20">
        <f t="shared" si="11"/>
        <v>1</v>
      </c>
    </row>
    <row r="168" spans="1:8">
      <c r="A168" s="20" t="s">
        <v>49</v>
      </c>
      <c r="B168" s="20">
        <v>2127</v>
      </c>
      <c r="C168" s="20"/>
      <c r="D168" s="20" t="s">
        <v>134</v>
      </c>
      <c r="E168" s="2">
        <v>1</v>
      </c>
      <c r="F168" s="2">
        <v>0</v>
      </c>
      <c r="G168" s="20">
        <f t="shared" si="11"/>
        <v>1</v>
      </c>
    </row>
    <row r="169" spans="1:8">
      <c r="A169" s="20" t="s">
        <v>49</v>
      </c>
      <c r="B169" s="20">
        <v>2127</v>
      </c>
      <c r="C169" s="20"/>
      <c r="D169" s="20" t="s">
        <v>61</v>
      </c>
      <c r="E169" s="2">
        <v>1</v>
      </c>
      <c r="F169" s="2">
        <v>0</v>
      </c>
      <c r="G169" s="20">
        <f t="shared" si="11"/>
        <v>1</v>
      </c>
    </row>
    <row r="170" spans="1:8">
      <c r="A170" s="13" t="s">
        <v>49</v>
      </c>
      <c r="B170" s="13">
        <v>2127</v>
      </c>
      <c r="C170" s="13"/>
      <c r="D170" s="13" t="s">
        <v>72</v>
      </c>
      <c r="E170" s="10">
        <v>1</v>
      </c>
      <c r="F170" s="10">
        <v>0</v>
      </c>
      <c r="G170" s="13">
        <f t="shared" si="11"/>
        <v>1</v>
      </c>
      <c r="H170" s="16">
        <f>SUM(G166:G170)</f>
        <v>5</v>
      </c>
    </row>
    <row r="171" spans="1:8">
      <c r="A171" s="20" t="s">
        <v>49</v>
      </c>
      <c r="B171" s="20" t="s">
        <v>149</v>
      </c>
      <c r="C171" s="20"/>
      <c r="D171" s="20" t="s">
        <v>62</v>
      </c>
      <c r="E171" s="2">
        <v>2</v>
      </c>
      <c r="F171" s="2">
        <v>0</v>
      </c>
      <c r="G171" s="20">
        <f t="shared" ref="G171:G174" si="12">SUM(E171:F171)</f>
        <v>2</v>
      </c>
    </row>
    <row r="172" spans="1:8">
      <c r="A172" s="20" t="s">
        <v>49</v>
      </c>
      <c r="B172" s="20" t="s">
        <v>149</v>
      </c>
      <c r="C172" s="20"/>
      <c r="D172" s="20" t="s">
        <v>61</v>
      </c>
      <c r="E172" s="2">
        <v>1</v>
      </c>
      <c r="F172" s="2">
        <v>0</v>
      </c>
      <c r="G172" s="20">
        <f t="shared" si="12"/>
        <v>1</v>
      </c>
    </row>
    <row r="173" spans="1:8">
      <c r="A173" s="20" t="s">
        <v>49</v>
      </c>
      <c r="B173" s="20" t="s">
        <v>149</v>
      </c>
      <c r="C173" s="20"/>
      <c r="D173" s="20" t="s">
        <v>69</v>
      </c>
      <c r="E173" s="2">
        <v>1</v>
      </c>
      <c r="F173" s="2">
        <v>0</v>
      </c>
      <c r="G173" s="20">
        <f t="shared" si="12"/>
        <v>1</v>
      </c>
    </row>
    <row r="174" spans="1:8">
      <c r="A174" s="13" t="s">
        <v>49</v>
      </c>
      <c r="B174" s="13" t="s">
        <v>149</v>
      </c>
      <c r="C174" s="13"/>
      <c r="D174" s="13" t="s">
        <v>138</v>
      </c>
      <c r="E174" s="10">
        <v>1</v>
      </c>
      <c r="F174" s="10">
        <v>0</v>
      </c>
      <c r="G174" s="13">
        <f t="shared" si="12"/>
        <v>1</v>
      </c>
      <c r="H174" s="16">
        <f>SUM(G171:G174)</f>
        <v>5</v>
      </c>
    </row>
    <row r="175" spans="1:8">
      <c r="A175" s="7" t="s">
        <v>49</v>
      </c>
      <c r="B175" s="20">
        <v>2553</v>
      </c>
      <c r="C175" s="20" t="s">
        <v>150</v>
      </c>
      <c r="D175" s="20" t="s">
        <v>86</v>
      </c>
      <c r="E175" s="2">
        <v>1</v>
      </c>
      <c r="F175" s="2">
        <v>0</v>
      </c>
      <c r="G175" s="20">
        <f t="shared" ref="G175:G181" si="13">SUM(E175:F175)</f>
        <v>1</v>
      </c>
    </row>
    <row r="176" spans="1:8">
      <c r="A176" s="7" t="s">
        <v>49</v>
      </c>
      <c r="B176" s="20">
        <v>2553</v>
      </c>
      <c r="C176" s="20" t="s">
        <v>150</v>
      </c>
      <c r="D176" s="20" t="s">
        <v>72</v>
      </c>
      <c r="E176" s="2">
        <v>1</v>
      </c>
      <c r="F176" s="2">
        <v>0</v>
      </c>
      <c r="G176" s="20">
        <f t="shared" si="13"/>
        <v>1</v>
      </c>
    </row>
    <row r="177" spans="1:8">
      <c r="A177" s="7" t="s">
        <v>49</v>
      </c>
      <c r="B177" s="20">
        <v>2553</v>
      </c>
      <c r="C177" s="20" t="s">
        <v>150</v>
      </c>
      <c r="D177" s="20" t="s">
        <v>110</v>
      </c>
      <c r="E177" s="2">
        <v>1</v>
      </c>
      <c r="F177" s="2">
        <v>0</v>
      </c>
      <c r="G177" s="20">
        <f t="shared" si="13"/>
        <v>1</v>
      </c>
    </row>
    <row r="178" spans="1:8">
      <c r="A178" s="7" t="s">
        <v>49</v>
      </c>
      <c r="B178" s="20">
        <v>2553</v>
      </c>
      <c r="C178" s="20" t="s">
        <v>150</v>
      </c>
      <c r="D178" s="20" t="s">
        <v>62</v>
      </c>
      <c r="E178" s="2">
        <v>1</v>
      </c>
      <c r="F178" s="2">
        <v>0</v>
      </c>
      <c r="G178" s="20">
        <f t="shared" si="13"/>
        <v>1</v>
      </c>
    </row>
    <row r="179" spans="1:8">
      <c r="A179" s="7" t="s">
        <v>49</v>
      </c>
      <c r="B179" s="20">
        <v>2553</v>
      </c>
      <c r="C179" s="20" t="s">
        <v>150</v>
      </c>
      <c r="D179" s="20" t="s">
        <v>151</v>
      </c>
      <c r="E179" s="2">
        <v>1</v>
      </c>
      <c r="F179" s="2">
        <v>0</v>
      </c>
      <c r="G179" s="20">
        <f t="shared" si="13"/>
        <v>1</v>
      </c>
    </row>
    <row r="180" spans="1:8">
      <c r="A180" s="13" t="s">
        <v>49</v>
      </c>
      <c r="B180" s="13">
        <v>2553</v>
      </c>
      <c r="C180" s="13" t="s">
        <v>150</v>
      </c>
      <c r="D180" s="13" t="s">
        <v>118</v>
      </c>
      <c r="E180" s="10">
        <v>1</v>
      </c>
      <c r="F180" s="10">
        <v>0</v>
      </c>
      <c r="G180" s="13">
        <f t="shared" si="13"/>
        <v>1</v>
      </c>
      <c r="H180" s="16">
        <f>SUM(G175:G180)</f>
        <v>6</v>
      </c>
    </row>
    <row r="181" spans="1:8">
      <c r="A181" s="7" t="s">
        <v>49</v>
      </c>
      <c r="B181" s="20">
        <v>2052</v>
      </c>
      <c r="C181" s="20" t="s">
        <v>152</v>
      </c>
      <c r="D181" s="20" t="s">
        <v>139</v>
      </c>
      <c r="E181" s="2">
        <v>1</v>
      </c>
      <c r="F181" s="2">
        <v>0</v>
      </c>
      <c r="G181" s="20">
        <f t="shared" si="13"/>
        <v>1</v>
      </c>
    </row>
    <row r="182" spans="1:8">
      <c r="A182" s="13" t="s">
        <v>49</v>
      </c>
      <c r="B182" s="13">
        <v>2052</v>
      </c>
      <c r="C182" s="13"/>
      <c r="D182" s="13" t="s">
        <v>107</v>
      </c>
      <c r="E182" s="10">
        <v>1</v>
      </c>
      <c r="F182" s="10">
        <v>0</v>
      </c>
      <c r="G182" s="13">
        <f t="shared" ref="G182:G192" si="14">SUM(E182:F182)</f>
        <v>1</v>
      </c>
      <c r="H182" s="16">
        <f>SUM(G181:G182)</f>
        <v>2</v>
      </c>
    </row>
    <row r="183" spans="1:8">
      <c r="A183" s="7" t="s">
        <v>49</v>
      </c>
      <c r="B183" s="20" t="s">
        <v>153</v>
      </c>
      <c r="C183" s="20"/>
      <c r="D183" s="20" t="s">
        <v>61</v>
      </c>
      <c r="E183" s="2">
        <v>1</v>
      </c>
      <c r="F183" s="2">
        <v>0</v>
      </c>
      <c r="G183" s="20">
        <f t="shared" si="14"/>
        <v>1</v>
      </c>
    </row>
    <row r="184" spans="1:8">
      <c r="A184" s="13" t="s">
        <v>49</v>
      </c>
      <c r="B184" s="13" t="s">
        <v>153</v>
      </c>
      <c r="C184" s="13"/>
      <c r="D184" s="13" t="s">
        <v>67</v>
      </c>
      <c r="E184" s="10">
        <v>1</v>
      </c>
      <c r="F184" s="10">
        <v>0</v>
      </c>
      <c r="G184" s="13">
        <f t="shared" si="14"/>
        <v>1</v>
      </c>
      <c r="H184" s="16">
        <f>SUM(G183:G184)</f>
        <v>2</v>
      </c>
    </row>
    <row r="185" spans="1:8">
      <c r="A185" s="13" t="s">
        <v>49</v>
      </c>
      <c r="B185" s="13">
        <v>1107</v>
      </c>
      <c r="C185" s="13" t="s">
        <v>143</v>
      </c>
      <c r="D185" s="13" t="s">
        <v>61</v>
      </c>
      <c r="E185" s="10">
        <v>1</v>
      </c>
      <c r="F185" s="10">
        <v>0</v>
      </c>
      <c r="G185" s="13">
        <f t="shared" si="14"/>
        <v>1</v>
      </c>
      <c r="H185" s="16">
        <f>G185</f>
        <v>1</v>
      </c>
    </row>
    <row r="186" spans="1:8">
      <c r="A186" s="13" t="s">
        <v>49</v>
      </c>
      <c r="B186" s="13">
        <v>925</v>
      </c>
      <c r="C186" s="13"/>
      <c r="D186" s="13" t="s">
        <v>107</v>
      </c>
      <c r="E186" s="10">
        <v>2</v>
      </c>
      <c r="F186" s="10">
        <v>0</v>
      </c>
      <c r="G186" s="13">
        <f t="shared" si="14"/>
        <v>2</v>
      </c>
      <c r="H186" s="16">
        <f>G186</f>
        <v>2</v>
      </c>
    </row>
    <row r="187" spans="1:8">
      <c r="A187" s="7" t="s">
        <v>49</v>
      </c>
      <c r="B187" s="20">
        <v>2019</v>
      </c>
      <c r="C187" s="20"/>
      <c r="D187" s="20" t="s">
        <v>90</v>
      </c>
      <c r="E187" s="2">
        <v>1</v>
      </c>
      <c r="F187" s="2">
        <v>0</v>
      </c>
      <c r="G187" s="20">
        <f t="shared" si="14"/>
        <v>1</v>
      </c>
    </row>
    <row r="188" spans="1:8">
      <c r="A188" s="7" t="s">
        <v>49</v>
      </c>
      <c r="B188" s="20">
        <v>2019</v>
      </c>
      <c r="C188" s="20"/>
      <c r="D188" s="20" t="s">
        <v>72</v>
      </c>
      <c r="E188" s="2">
        <v>1</v>
      </c>
      <c r="F188" s="2">
        <v>0</v>
      </c>
      <c r="G188" s="20">
        <f t="shared" si="14"/>
        <v>1</v>
      </c>
    </row>
    <row r="189" spans="1:8">
      <c r="A189" s="7" t="s">
        <v>49</v>
      </c>
      <c r="B189" s="20">
        <v>2019</v>
      </c>
      <c r="C189" s="20"/>
      <c r="D189" s="20" t="s">
        <v>134</v>
      </c>
      <c r="E189" s="2">
        <v>1</v>
      </c>
      <c r="F189" s="2">
        <v>0</v>
      </c>
      <c r="G189" s="20">
        <f t="shared" si="14"/>
        <v>1</v>
      </c>
    </row>
    <row r="190" spans="1:8">
      <c r="A190" s="7" t="s">
        <v>49</v>
      </c>
      <c r="B190" s="20">
        <v>2019</v>
      </c>
      <c r="C190" s="20"/>
      <c r="D190" s="20" t="s">
        <v>63</v>
      </c>
      <c r="E190" s="2">
        <v>3</v>
      </c>
      <c r="F190" s="2">
        <v>0</v>
      </c>
      <c r="G190" s="20">
        <f t="shared" si="14"/>
        <v>3</v>
      </c>
    </row>
    <row r="191" spans="1:8">
      <c r="A191" s="7" t="s">
        <v>49</v>
      </c>
      <c r="B191" s="20">
        <v>2019</v>
      </c>
      <c r="C191" s="20"/>
      <c r="D191" s="20" t="s">
        <v>78</v>
      </c>
      <c r="E191" s="2">
        <v>1</v>
      </c>
      <c r="F191" s="2">
        <v>0</v>
      </c>
      <c r="G191" s="20">
        <f t="shared" si="14"/>
        <v>1</v>
      </c>
    </row>
    <row r="192" spans="1:8">
      <c r="A192" s="13" t="s">
        <v>49</v>
      </c>
      <c r="B192" s="13">
        <v>2019</v>
      </c>
      <c r="C192" s="13"/>
      <c r="D192" s="13" t="s">
        <v>61</v>
      </c>
      <c r="E192" s="10">
        <v>1</v>
      </c>
      <c r="F192" s="10">
        <v>0</v>
      </c>
      <c r="G192" s="13">
        <f t="shared" si="14"/>
        <v>1</v>
      </c>
      <c r="H192" s="16">
        <f>SUM(G187:G192)</f>
        <v>8</v>
      </c>
    </row>
    <row r="193" spans="1:8">
      <c r="A193" s="7" t="s">
        <v>49</v>
      </c>
      <c r="B193" s="20">
        <v>998</v>
      </c>
      <c r="C193" s="20" t="s">
        <v>154</v>
      </c>
      <c r="D193" s="20" t="s">
        <v>69</v>
      </c>
      <c r="E193" s="2">
        <v>2</v>
      </c>
      <c r="F193" s="2">
        <v>0</v>
      </c>
      <c r="G193" s="20">
        <f t="shared" ref="G193:G199" si="15">SUM(E193:F193)</f>
        <v>2</v>
      </c>
    </row>
    <row r="194" spans="1:8">
      <c r="A194" s="7" t="s">
        <v>49</v>
      </c>
      <c r="B194" s="20">
        <v>998</v>
      </c>
      <c r="C194" s="20" t="s">
        <v>154</v>
      </c>
      <c r="D194" s="20" t="s">
        <v>72</v>
      </c>
      <c r="E194" s="2">
        <v>1</v>
      </c>
      <c r="F194" s="2">
        <v>0</v>
      </c>
      <c r="G194" s="20">
        <f t="shared" si="15"/>
        <v>1</v>
      </c>
    </row>
    <row r="195" spans="1:8">
      <c r="A195" s="7" t="s">
        <v>49</v>
      </c>
      <c r="B195" s="20">
        <v>998</v>
      </c>
      <c r="C195" s="20" t="s">
        <v>154</v>
      </c>
      <c r="D195" s="20" t="s">
        <v>80</v>
      </c>
      <c r="E195" s="2">
        <v>1</v>
      </c>
      <c r="F195" s="2">
        <v>0</v>
      </c>
      <c r="G195" s="20">
        <f t="shared" si="15"/>
        <v>1</v>
      </c>
    </row>
    <row r="196" spans="1:8">
      <c r="A196" s="7" t="s">
        <v>49</v>
      </c>
      <c r="B196" s="20">
        <v>998</v>
      </c>
      <c r="C196" s="20" t="s">
        <v>154</v>
      </c>
      <c r="D196" s="20" t="s">
        <v>71</v>
      </c>
      <c r="E196" s="2">
        <v>1</v>
      </c>
      <c r="F196" s="2">
        <v>0</v>
      </c>
      <c r="G196" s="20">
        <f t="shared" si="15"/>
        <v>1</v>
      </c>
    </row>
    <row r="197" spans="1:8">
      <c r="A197" s="7" t="s">
        <v>49</v>
      </c>
      <c r="B197" s="20">
        <v>998</v>
      </c>
      <c r="C197" s="20" t="s">
        <v>154</v>
      </c>
      <c r="D197" s="20" t="s">
        <v>110</v>
      </c>
      <c r="E197" s="2">
        <v>2</v>
      </c>
      <c r="F197" s="2">
        <v>0</v>
      </c>
      <c r="G197" s="20">
        <f t="shared" si="15"/>
        <v>2</v>
      </c>
    </row>
    <row r="198" spans="1:8">
      <c r="A198" s="7" t="s">
        <v>49</v>
      </c>
      <c r="B198" s="20">
        <v>998</v>
      </c>
      <c r="C198" s="20" t="s">
        <v>154</v>
      </c>
      <c r="D198" s="20" t="s">
        <v>61</v>
      </c>
      <c r="E198" s="2">
        <v>1</v>
      </c>
      <c r="F198" s="2">
        <v>0</v>
      </c>
      <c r="G198" s="20">
        <f t="shared" si="15"/>
        <v>1</v>
      </c>
    </row>
    <row r="199" spans="1:8">
      <c r="A199" s="13" t="s">
        <v>49</v>
      </c>
      <c r="B199" s="13">
        <v>998</v>
      </c>
      <c r="C199" s="13" t="s">
        <v>154</v>
      </c>
      <c r="D199" s="13" t="s">
        <v>139</v>
      </c>
      <c r="E199" s="10">
        <v>1</v>
      </c>
      <c r="F199" s="10">
        <v>0</v>
      </c>
      <c r="G199" s="13">
        <f t="shared" si="15"/>
        <v>1</v>
      </c>
      <c r="H199" s="16">
        <f>SUM(G193:G199)</f>
        <v>9</v>
      </c>
    </row>
    <row r="200" spans="1:8">
      <c r="A200" s="13" t="s">
        <v>49</v>
      </c>
      <c r="B200" s="13">
        <v>113</v>
      </c>
      <c r="C200" s="13" t="s">
        <v>155</v>
      </c>
      <c r="D200" s="13" t="s">
        <v>61</v>
      </c>
      <c r="E200" s="10">
        <v>1</v>
      </c>
      <c r="F200" s="10">
        <v>0</v>
      </c>
      <c r="G200" s="13">
        <f t="shared" ref="G200:G203" si="16">SUM(E200:F200)</f>
        <v>1</v>
      </c>
      <c r="H200" s="16">
        <f>G200</f>
        <v>1</v>
      </c>
    </row>
    <row r="201" spans="1:8">
      <c r="A201" s="7" t="s">
        <v>49</v>
      </c>
      <c r="B201" s="20">
        <v>6854</v>
      </c>
      <c r="C201" s="20" t="s">
        <v>156</v>
      </c>
      <c r="D201" s="20" t="s">
        <v>148</v>
      </c>
      <c r="E201" s="2">
        <v>1</v>
      </c>
      <c r="F201" s="2">
        <v>0</v>
      </c>
      <c r="G201" s="20">
        <f t="shared" si="16"/>
        <v>1</v>
      </c>
    </row>
    <row r="202" spans="1:8">
      <c r="A202" s="7" t="s">
        <v>49</v>
      </c>
      <c r="B202" s="20">
        <v>6854</v>
      </c>
      <c r="C202" s="20" t="s">
        <v>156</v>
      </c>
      <c r="D202" s="20" t="s">
        <v>72</v>
      </c>
      <c r="E202" s="2">
        <v>1</v>
      </c>
      <c r="F202" s="2">
        <v>0</v>
      </c>
      <c r="G202" s="20">
        <f t="shared" si="16"/>
        <v>1</v>
      </c>
    </row>
    <row r="203" spans="1:8">
      <c r="A203" s="13" t="s">
        <v>49</v>
      </c>
      <c r="B203" s="13">
        <v>6854</v>
      </c>
      <c r="C203" s="13" t="s">
        <v>156</v>
      </c>
      <c r="D203" s="13" t="s">
        <v>80</v>
      </c>
      <c r="E203" s="10">
        <v>1</v>
      </c>
      <c r="F203" s="10">
        <v>0</v>
      </c>
      <c r="G203" s="13">
        <f t="shared" si="16"/>
        <v>1</v>
      </c>
      <c r="H203" s="16">
        <f>SUM(G201:G203)</f>
        <v>3</v>
      </c>
    </row>
    <row r="204" spans="1:8">
      <c r="A204" s="7" t="s">
        <v>49</v>
      </c>
      <c r="B204" s="20">
        <v>8875</v>
      </c>
      <c r="C204" s="20"/>
      <c r="D204" s="20" t="s">
        <v>61</v>
      </c>
      <c r="E204" s="2">
        <v>1</v>
      </c>
      <c r="F204" s="2">
        <v>0</v>
      </c>
      <c r="G204" s="20">
        <f t="shared" ref="G204:G210" si="17">SUM(E204:F204)</f>
        <v>1</v>
      </c>
    </row>
    <row r="205" spans="1:8">
      <c r="A205" s="7" t="s">
        <v>49</v>
      </c>
      <c r="B205" s="20">
        <v>8875</v>
      </c>
      <c r="C205" s="20"/>
      <c r="D205" s="20" t="s">
        <v>69</v>
      </c>
      <c r="E205" s="2">
        <v>1</v>
      </c>
      <c r="F205" s="2">
        <v>0</v>
      </c>
      <c r="G205" s="20">
        <f t="shared" si="17"/>
        <v>1</v>
      </c>
    </row>
    <row r="206" spans="1:8">
      <c r="A206" s="7" t="s">
        <v>49</v>
      </c>
      <c r="B206" s="20">
        <v>8875</v>
      </c>
      <c r="C206" s="20"/>
      <c r="D206" s="20" t="s">
        <v>62</v>
      </c>
      <c r="E206" s="2">
        <v>1</v>
      </c>
      <c r="F206" s="2">
        <v>0</v>
      </c>
      <c r="G206" s="20">
        <f t="shared" si="17"/>
        <v>1</v>
      </c>
    </row>
    <row r="207" spans="1:8">
      <c r="A207" s="7" t="s">
        <v>49</v>
      </c>
      <c r="B207" s="20">
        <v>8875</v>
      </c>
      <c r="C207" s="20"/>
      <c r="D207" s="20" t="s">
        <v>80</v>
      </c>
      <c r="E207" s="2">
        <v>1</v>
      </c>
      <c r="F207" s="2">
        <v>0</v>
      </c>
      <c r="G207" s="20">
        <f t="shared" si="17"/>
        <v>1</v>
      </c>
    </row>
    <row r="208" spans="1:8">
      <c r="A208" s="7" t="s">
        <v>49</v>
      </c>
      <c r="B208" s="20">
        <v>8875</v>
      </c>
      <c r="C208" s="20"/>
      <c r="D208" s="20" t="s">
        <v>157</v>
      </c>
      <c r="E208" s="2">
        <v>1</v>
      </c>
      <c r="F208" s="2">
        <v>0</v>
      </c>
      <c r="G208" s="20">
        <f t="shared" si="17"/>
        <v>1</v>
      </c>
    </row>
    <row r="209" spans="1:8">
      <c r="A209" s="7" t="s">
        <v>49</v>
      </c>
      <c r="B209" s="20">
        <v>8875</v>
      </c>
      <c r="C209" s="20"/>
      <c r="D209" s="20" t="s">
        <v>105</v>
      </c>
      <c r="E209" s="2">
        <v>1</v>
      </c>
      <c r="F209" s="2">
        <v>0</v>
      </c>
      <c r="G209" s="20">
        <f t="shared" si="17"/>
        <v>1</v>
      </c>
    </row>
    <row r="210" spans="1:8">
      <c r="A210" s="13" t="s">
        <v>49</v>
      </c>
      <c r="B210" s="13">
        <v>8875</v>
      </c>
      <c r="C210" s="13"/>
      <c r="D210" s="13" t="s">
        <v>72</v>
      </c>
      <c r="E210" s="10">
        <v>1</v>
      </c>
      <c r="F210" s="10">
        <v>0</v>
      </c>
      <c r="G210" s="13">
        <f t="shared" si="17"/>
        <v>1</v>
      </c>
      <c r="H210" s="16">
        <f>SUM(G204:G210)</f>
        <v>7</v>
      </c>
    </row>
    <row r="211" spans="1:8">
      <c r="A211" s="7" t="s">
        <v>49</v>
      </c>
      <c r="B211" s="20" t="s">
        <v>158</v>
      </c>
      <c r="C211" s="20"/>
      <c r="D211" s="20" t="s">
        <v>62</v>
      </c>
      <c r="E211" s="2">
        <v>3</v>
      </c>
      <c r="F211" s="2">
        <v>0</v>
      </c>
      <c r="G211" s="20">
        <f t="shared" ref="G211:G214" si="18">SUM(E211:F211)</f>
        <v>3</v>
      </c>
    </row>
    <row r="212" spans="1:8">
      <c r="A212" s="7" t="s">
        <v>49</v>
      </c>
      <c r="B212" s="20" t="s">
        <v>158</v>
      </c>
      <c r="C212" s="20"/>
      <c r="D212" s="20" t="s">
        <v>61</v>
      </c>
      <c r="E212" s="2">
        <v>2</v>
      </c>
      <c r="F212" s="2">
        <v>0</v>
      </c>
      <c r="G212" s="20">
        <f t="shared" si="18"/>
        <v>2</v>
      </c>
    </row>
    <row r="213" spans="1:8">
      <c r="A213" s="7" t="s">
        <v>49</v>
      </c>
      <c r="B213" s="20" t="s">
        <v>158</v>
      </c>
      <c r="C213" s="20"/>
      <c r="D213" s="20" t="s">
        <v>72</v>
      </c>
      <c r="E213" s="2">
        <v>1</v>
      </c>
      <c r="F213" s="2">
        <v>0</v>
      </c>
      <c r="G213" s="20">
        <f t="shared" si="18"/>
        <v>1</v>
      </c>
    </row>
    <row r="214" spans="1:8">
      <c r="A214" s="13" t="s">
        <v>49</v>
      </c>
      <c r="B214" s="13" t="s">
        <v>158</v>
      </c>
      <c r="C214" s="13"/>
      <c r="D214" s="13" t="s">
        <v>80</v>
      </c>
      <c r="E214" s="10">
        <v>1</v>
      </c>
      <c r="F214" s="10">
        <v>0</v>
      </c>
      <c r="G214" s="13">
        <f t="shared" si="18"/>
        <v>1</v>
      </c>
      <c r="H214" s="16">
        <f>SUM(G211:G214)</f>
        <v>7</v>
      </c>
    </row>
    <row r="215" spans="1:8">
      <c r="A215" s="7" t="s">
        <v>49</v>
      </c>
      <c r="B215" s="20" t="s">
        <v>159</v>
      </c>
      <c r="C215" s="20"/>
      <c r="D215" s="20" t="s">
        <v>62</v>
      </c>
      <c r="E215" s="2">
        <v>1</v>
      </c>
      <c r="F215" s="2">
        <v>0</v>
      </c>
      <c r="G215" s="20">
        <f t="shared" ref="G215:G224" si="19">SUM(E215:F215)</f>
        <v>1</v>
      </c>
    </row>
    <row r="216" spans="1:8">
      <c r="A216" s="7" t="s">
        <v>49</v>
      </c>
      <c r="B216" s="20" t="s">
        <v>159</v>
      </c>
      <c r="C216" s="20"/>
      <c r="D216" s="20" t="s">
        <v>80</v>
      </c>
      <c r="E216" s="2">
        <v>1</v>
      </c>
      <c r="F216" s="2">
        <v>0</v>
      </c>
      <c r="G216" s="20">
        <f t="shared" si="19"/>
        <v>1</v>
      </c>
    </row>
    <row r="217" spans="1:8">
      <c r="A217" s="7" t="s">
        <v>49</v>
      </c>
      <c r="B217" s="20" t="s">
        <v>159</v>
      </c>
      <c r="C217" s="20"/>
      <c r="D217" s="20" t="s">
        <v>139</v>
      </c>
      <c r="E217" s="2">
        <v>1</v>
      </c>
      <c r="F217" s="2">
        <v>0</v>
      </c>
      <c r="G217" s="20">
        <f t="shared" si="19"/>
        <v>1</v>
      </c>
    </row>
    <row r="218" spans="1:8">
      <c r="A218" s="13" t="s">
        <v>49</v>
      </c>
      <c r="B218" s="13" t="s">
        <v>159</v>
      </c>
      <c r="C218" s="13"/>
      <c r="D218" s="13" t="s">
        <v>87</v>
      </c>
      <c r="E218" s="10">
        <v>1</v>
      </c>
      <c r="F218" s="10">
        <v>0</v>
      </c>
      <c r="G218" s="13">
        <f t="shared" si="19"/>
        <v>1</v>
      </c>
      <c r="H218" s="16">
        <f>SUM(G215:G218)</f>
        <v>4</v>
      </c>
    </row>
    <row r="219" spans="1:8">
      <c r="A219" s="7" t="s">
        <v>49</v>
      </c>
      <c r="B219" s="20">
        <v>314</v>
      </c>
      <c r="C219" s="20" t="s">
        <v>160</v>
      </c>
      <c r="D219" s="20" t="s">
        <v>109</v>
      </c>
      <c r="E219" s="2">
        <v>1</v>
      </c>
      <c r="F219" s="2">
        <v>0</v>
      </c>
      <c r="G219" s="20">
        <f t="shared" si="19"/>
        <v>1</v>
      </c>
    </row>
    <row r="220" spans="1:8">
      <c r="A220" s="7" t="s">
        <v>49</v>
      </c>
      <c r="B220" s="20">
        <v>314</v>
      </c>
      <c r="C220" s="20" t="s">
        <v>160</v>
      </c>
      <c r="D220" s="20" t="s">
        <v>90</v>
      </c>
      <c r="E220" s="2">
        <v>1</v>
      </c>
      <c r="F220" s="2">
        <v>0</v>
      </c>
      <c r="G220" s="20">
        <f t="shared" si="19"/>
        <v>1</v>
      </c>
    </row>
    <row r="221" spans="1:8">
      <c r="A221" s="7" t="s">
        <v>49</v>
      </c>
      <c r="B221" s="20">
        <v>314</v>
      </c>
      <c r="C221" s="20" t="s">
        <v>160</v>
      </c>
      <c r="D221" s="20" t="s">
        <v>161</v>
      </c>
      <c r="E221" s="2">
        <v>1</v>
      </c>
      <c r="F221" s="2">
        <v>0</v>
      </c>
      <c r="G221" s="20">
        <f t="shared" si="19"/>
        <v>1</v>
      </c>
    </row>
    <row r="222" spans="1:8">
      <c r="A222" s="7" t="s">
        <v>49</v>
      </c>
      <c r="B222" s="20">
        <v>314</v>
      </c>
      <c r="C222" s="20" t="s">
        <v>160</v>
      </c>
      <c r="D222" s="20" t="s">
        <v>80</v>
      </c>
      <c r="E222" s="2">
        <v>1</v>
      </c>
      <c r="F222" s="2">
        <v>0</v>
      </c>
      <c r="G222" s="20">
        <f t="shared" si="19"/>
        <v>1</v>
      </c>
    </row>
    <row r="223" spans="1:8">
      <c r="A223" s="7" t="s">
        <v>49</v>
      </c>
      <c r="B223" s="20">
        <v>314</v>
      </c>
      <c r="C223" s="20" t="s">
        <v>160</v>
      </c>
      <c r="D223" s="20" t="s">
        <v>64</v>
      </c>
      <c r="E223" s="2">
        <v>1</v>
      </c>
      <c r="F223" s="2">
        <v>0</v>
      </c>
      <c r="G223" s="20">
        <f t="shared" si="19"/>
        <v>1</v>
      </c>
    </row>
    <row r="224" spans="1:8">
      <c r="A224" s="7" t="s">
        <v>49</v>
      </c>
      <c r="B224" s="20">
        <v>314</v>
      </c>
      <c r="C224" s="20" t="s">
        <v>160</v>
      </c>
      <c r="D224" s="20" t="s">
        <v>162</v>
      </c>
      <c r="E224" s="2">
        <v>2</v>
      </c>
      <c r="F224" s="2">
        <v>0</v>
      </c>
      <c r="G224" s="20">
        <f t="shared" si="19"/>
        <v>2</v>
      </c>
    </row>
    <row r="225" spans="1:8">
      <c r="A225" s="13" t="s">
        <v>49</v>
      </c>
      <c r="B225" s="13">
        <v>314</v>
      </c>
      <c r="C225" s="13" t="s">
        <v>160</v>
      </c>
      <c r="D225" s="13" t="s">
        <v>105</v>
      </c>
      <c r="E225" s="10">
        <v>2</v>
      </c>
      <c r="F225" s="10">
        <v>0</v>
      </c>
      <c r="G225" s="13">
        <f t="shared" ref="G225:G275" si="20">SUM(E225:F225)</f>
        <v>2</v>
      </c>
      <c r="H225" s="16">
        <f>SUM(G219:G225)</f>
        <v>9</v>
      </c>
    </row>
    <row r="226" spans="1:8">
      <c r="A226" s="7" t="s">
        <v>49</v>
      </c>
      <c r="B226" s="20">
        <v>1710</v>
      </c>
      <c r="C226" s="20"/>
      <c r="D226" s="20" t="s">
        <v>72</v>
      </c>
      <c r="E226" s="2">
        <v>2</v>
      </c>
      <c r="F226" s="2">
        <v>0</v>
      </c>
      <c r="G226" s="20">
        <f t="shared" si="20"/>
        <v>2</v>
      </c>
    </row>
    <row r="227" spans="1:8">
      <c r="A227" s="7" t="s">
        <v>49</v>
      </c>
      <c r="B227" s="20">
        <v>1710</v>
      </c>
      <c r="C227" s="20"/>
      <c r="D227" s="20" t="s">
        <v>163</v>
      </c>
      <c r="E227" s="2">
        <v>2</v>
      </c>
      <c r="F227" s="2">
        <v>0</v>
      </c>
      <c r="G227" s="20">
        <f t="shared" si="20"/>
        <v>2</v>
      </c>
    </row>
    <row r="228" spans="1:8">
      <c r="A228" s="13" t="s">
        <v>49</v>
      </c>
      <c r="B228" s="13">
        <v>1710</v>
      </c>
      <c r="C228" s="13"/>
      <c r="D228" s="13" t="s">
        <v>67</v>
      </c>
      <c r="E228" s="10">
        <v>1</v>
      </c>
      <c r="F228" s="10">
        <v>0</v>
      </c>
      <c r="G228" s="13">
        <f t="shared" si="20"/>
        <v>1</v>
      </c>
      <c r="H228" s="16">
        <f>SUM(G226:G228)</f>
        <v>5</v>
      </c>
    </row>
    <row r="229" spans="1:8">
      <c r="A229" s="7" t="s">
        <v>49</v>
      </c>
      <c r="B229" s="20">
        <v>310</v>
      </c>
      <c r="C229" s="20"/>
      <c r="D229" s="20" t="s">
        <v>105</v>
      </c>
      <c r="E229" s="2">
        <v>1</v>
      </c>
      <c r="F229" s="2">
        <v>0</v>
      </c>
      <c r="G229" s="20">
        <f t="shared" si="20"/>
        <v>1</v>
      </c>
    </row>
    <row r="230" spans="1:8">
      <c r="A230" s="7" t="s">
        <v>49</v>
      </c>
      <c r="B230" s="20">
        <v>310</v>
      </c>
      <c r="C230" s="20"/>
      <c r="D230" s="20" t="s">
        <v>80</v>
      </c>
      <c r="E230" s="2">
        <v>1</v>
      </c>
      <c r="F230" s="2">
        <v>0</v>
      </c>
      <c r="G230" s="20">
        <f t="shared" si="20"/>
        <v>1</v>
      </c>
    </row>
    <row r="231" spans="1:8">
      <c r="A231" s="7" t="s">
        <v>49</v>
      </c>
      <c r="B231" s="20">
        <v>310</v>
      </c>
      <c r="C231" s="20"/>
      <c r="D231" s="20" t="s">
        <v>110</v>
      </c>
      <c r="E231" s="2">
        <v>1</v>
      </c>
      <c r="F231" s="2">
        <v>0</v>
      </c>
      <c r="G231" s="20">
        <f t="shared" si="20"/>
        <v>1</v>
      </c>
    </row>
    <row r="232" spans="1:8">
      <c r="A232" s="7" t="s">
        <v>49</v>
      </c>
      <c r="B232" s="20">
        <v>310</v>
      </c>
      <c r="C232" s="20"/>
      <c r="D232" s="20" t="s">
        <v>61</v>
      </c>
      <c r="E232" s="2">
        <v>1</v>
      </c>
      <c r="F232" s="2">
        <v>0</v>
      </c>
      <c r="G232" s="20">
        <f t="shared" si="20"/>
        <v>1</v>
      </c>
    </row>
    <row r="233" spans="1:8">
      <c r="A233" s="13" t="s">
        <v>49</v>
      </c>
      <c r="B233" s="13">
        <v>310</v>
      </c>
      <c r="C233" s="13"/>
      <c r="D233" s="13" t="s">
        <v>72</v>
      </c>
      <c r="E233" s="10">
        <v>1</v>
      </c>
      <c r="F233" s="10">
        <v>0</v>
      </c>
      <c r="G233" s="13">
        <f t="shared" si="20"/>
        <v>1</v>
      </c>
      <c r="H233" s="16">
        <f>SUM(G229:G233)</f>
        <v>5</v>
      </c>
    </row>
    <row r="234" spans="1:8">
      <c r="A234" s="7" t="s">
        <v>49</v>
      </c>
      <c r="B234" s="20">
        <v>309</v>
      </c>
      <c r="C234" s="20"/>
      <c r="D234" s="20" t="s">
        <v>90</v>
      </c>
      <c r="E234" s="2">
        <v>1</v>
      </c>
      <c r="F234" s="2">
        <v>0</v>
      </c>
      <c r="G234" s="20">
        <f t="shared" si="20"/>
        <v>1</v>
      </c>
    </row>
    <row r="235" spans="1:8">
      <c r="A235" s="7" t="s">
        <v>49</v>
      </c>
      <c r="B235" s="20">
        <v>309</v>
      </c>
      <c r="C235" s="20"/>
      <c r="D235" s="20" t="s">
        <v>105</v>
      </c>
      <c r="E235" s="2">
        <v>1</v>
      </c>
      <c r="F235" s="2">
        <v>0</v>
      </c>
      <c r="G235" s="20">
        <f t="shared" si="20"/>
        <v>1</v>
      </c>
    </row>
    <row r="236" spans="1:8">
      <c r="A236" s="13" t="s">
        <v>49</v>
      </c>
      <c r="B236" s="13">
        <v>309</v>
      </c>
      <c r="C236" s="13"/>
      <c r="D236" s="13" t="s">
        <v>78</v>
      </c>
      <c r="E236" s="10">
        <v>1</v>
      </c>
      <c r="F236" s="10">
        <v>0</v>
      </c>
      <c r="G236" s="13">
        <f t="shared" si="20"/>
        <v>1</v>
      </c>
      <c r="H236" s="16">
        <f>SUM(G234:G236)</f>
        <v>3</v>
      </c>
    </row>
    <row r="237" spans="1:8">
      <c r="A237" s="7" t="s">
        <v>49</v>
      </c>
      <c r="B237" s="20">
        <v>318</v>
      </c>
      <c r="C237" s="20"/>
      <c r="D237" s="20" t="s">
        <v>80</v>
      </c>
      <c r="E237" s="2">
        <v>1</v>
      </c>
      <c r="F237" s="2">
        <v>0</v>
      </c>
      <c r="G237" s="20">
        <f t="shared" si="20"/>
        <v>1</v>
      </c>
    </row>
    <row r="238" spans="1:8">
      <c r="A238" s="7" t="s">
        <v>49</v>
      </c>
      <c r="B238" s="20">
        <v>318</v>
      </c>
      <c r="C238" s="20"/>
      <c r="D238" s="20" t="s">
        <v>61</v>
      </c>
      <c r="E238" s="2">
        <v>1</v>
      </c>
      <c r="F238" s="2">
        <v>0</v>
      </c>
      <c r="G238" s="20">
        <f t="shared" si="20"/>
        <v>1</v>
      </c>
    </row>
    <row r="239" spans="1:8">
      <c r="A239" s="7" t="s">
        <v>49</v>
      </c>
      <c r="B239" s="20">
        <v>318</v>
      </c>
      <c r="C239" s="20"/>
      <c r="D239" s="20" t="s">
        <v>164</v>
      </c>
      <c r="E239" s="2">
        <v>1</v>
      </c>
      <c r="F239" s="2">
        <v>0</v>
      </c>
      <c r="G239" s="20">
        <f t="shared" si="20"/>
        <v>1</v>
      </c>
    </row>
    <row r="240" spans="1:8">
      <c r="A240" s="7" t="s">
        <v>49</v>
      </c>
      <c r="B240" s="20">
        <v>318</v>
      </c>
      <c r="C240" s="20"/>
      <c r="D240" s="20" t="s">
        <v>146</v>
      </c>
      <c r="E240" s="2">
        <v>1</v>
      </c>
      <c r="F240" s="2">
        <v>0</v>
      </c>
      <c r="G240" s="20">
        <f t="shared" si="20"/>
        <v>1</v>
      </c>
    </row>
    <row r="241" spans="1:8">
      <c r="A241" s="13" t="s">
        <v>49</v>
      </c>
      <c r="B241" s="13">
        <v>318</v>
      </c>
      <c r="C241" s="13"/>
      <c r="D241" s="13" t="s">
        <v>105</v>
      </c>
      <c r="E241" s="10">
        <v>1</v>
      </c>
      <c r="F241" s="10">
        <v>0</v>
      </c>
      <c r="G241" s="13">
        <f t="shared" si="20"/>
        <v>1</v>
      </c>
      <c r="H241" s="16">
        <f>SUM(G237:G241)</f>
        <v>5</v>
      </c>
    </row>
    <row r="242" spans="1:8">
      <c r="A242" s="7" t="s">
        <v>49</v>
      </c>
      <c r="B242" s="20">
        <v>1719</v>
      </c>
      <c r="C242" s="20"/>
      <c r="D242" s="20" t="s">
        <v>105</v>
      </c>
      <c r="E242" s="2">
        <v>2</v>
      </c>
      <c r="F242" s="2">
        <v>0</v>
      </c>
      <c r="G242" s="20">
        <f t="shared" si="20"/>
        <v>2</v>
      </c>
    </row>
    <row r="243" spans="1:8">
      <c r="A243" s="7" t="s">
        <v>49</v>
      </c>
      <c r="B243" s="20">
        <v>1719</v>
      </c>
      <c r="C243" s="20"/>
      <c r="D243" s="20" t="s">
        <v>78</v>
      </c>
      <c r="E243" s="2">
        <v>2</v>
      </c>
      <c r="F243" s="2">
        <v>0</v>
      </c>
      <c r="G243" s="20">
        <f t="shared" si="20"/>
        <v>2</v>
      </c>
    </row>
    <row r="244" spans="1:8">
      <c r="A244" s="7" t="s">
        <v>49</v>
      </c>
      <c r="B244" s="20">
        <v>1719</v>
      </c>
      <c r="C244" s="20"/>
      <c r="D244" s="20" t="s">
        <v>67</v>
      </c>
      <c r="E244" s="2">
        <v>2</v>
      </c>
      <c r="F244" s="2">
        <v>0</v>
      </c>
      <c r="G244" s="20">
        <f t="shared" si="20"/>
        <v>2</v>
      </c>
    </row>
    <row r="245" spans="1:8">
      <c r="A245" s="7" t="s">
        <v>49</v>
      </c>
      <c r="B245" s="20">
        <v>1719</v>
      </c>
      <c r="C245" s="20"/>
      <c r="D245" s="20" t="s">
        <v>80</v>
      </c>
      <c r="E245" s="2">
        <v>1</v>
      </c>
      <c r="F245" s="2">
        <v>0</v>
      </c>
      <c r="G245" s="20">
        <f t="shared" si="20"/>
        <v>1</v>
      </c>
    </row>
    <row r="246" spans="1:8">
      <c r="A246" s="13" t="s">
        <v>49</v>
      </c>
      <c r="B246" s="13">
        <v>1719</v>
      </c>
      <c r="C246" s="13"/>
      <c r="D246" s="13" t="s">
        <v>138</v>
      </c>
      <c r="E246" s="10">
        <v>1</v>
      </c>
      <c r="F246" s="10">
        <v>0</v>
      </c>
      <c r="G246" s="13">
        <f t="shared" si="20"/>
        <v>1</v>
      </c>
      <c r="H246" s="16">
        <f>SUM(G242:G246)</f>
        <v>8</v>
      </c>
    </row>
    <row r="247" spans="1:8">
      <c r="A247" s="7" t="s">
        <v>49</v>
      </c>
      <c r="B247" s="20" t="s">
        <v>165</v>
      </c>
      <c r="C247" s="20"/>
      <c r="D247" s="20" t="s">
        <v>105</v>
      </c>
      <c r="E247" s="2">
        <v>1</v>
      </c>
      <c r="F247" s="2">
        <v>0</v>
      </c>
      <c r="G247" s="20">
        <f t="shared" si="20"/>
        <v>1</v>
      </c>
    </row>
    <row r="248" spans="1:8">
      <c r="A248" s="7" t="s">
        <v>49</v>
      </c>
      <c r="B248" s="20" t="s">
        <v>165</v>
      </c>
      <c r="C248" s="20"/>
      <c r="D248" s="20" t="s">
        <v>86</v>
      </c>
      <c r="E248" s="2">
        <v>1</v>
      </c>
      <c r="F248" s="2">
        <v>0</v>
      </c>
      <c r="G248" s="20">
        <f t="shared" si="20"/>
        <v>1</v>
      </c>
    </row>
    <row r="249" spans="1:8">
      <c r="A249" s="7" t="s">
        <v>49</v>
      </c>
      <c r="B249" s="20" t="s">
        <v>165</v>
      </c>
      <c r="C249" s="20"/>
      <c r="D249" s="20" t="s">
        <v>80</v>
      </c>
      <c r="E249" s="2">
        <v>1</v>
      </c>
      <c r="F249" s="2">
        <v>0</v>
      </c>
      <c r="G249" s="20">
        <f t="shared" si="20"/>
        <v>1</v>
      </c>
    </row>
    <row r="250" spans="1:8">
      <c r="A250" s="7" t="s">
        <v>49</v>
      </c>
      <c r="B250" s="20" t="s">
        <v>165</v>
      </c>
      <c r="C250" s="20"/>
      <c r="D250" s="20" t="s">
        <v>63</v>
      </c>
      <c r="E250" s="2">
        <v>1</v>
      </c>
      <c r="F250" s="2">
        <v>0</v>
      </c>
      <c r="G250" s="20">
        <f t="shared" si="20"/>
        <v>1</v>
      </c>
    </row>
    <row r="251" spans="1:8">
      <c r="A251" s="7" t="s">
        <v>49</v>
      </c>
      <c r="B251" s="20" t="s">
        <v>165</v>
      </c>
      <c r="C251" s="20"/>
      <c r="D251" s="20" t="s">
        <v>69</v>
      </c>
      <c r="E251" s="2">
        <v>1</v>
      </c>
      <c r="F251" s="2">
        <v>0</v>
      </c>
      <c r="G251" s="20">
        <f t="shared" si="20"/>
        <v>1</v>
      </c>
    </row>
    <row r="252" spans="1:8">
      <c r="A252" s="7" t="s">
        <v>49</v>
      </c>
      <c r="B252" s="20" t="s">
        <v>165</v>
      </c>
      <c r="C252" s="20"/>
      <c r="D252" s="20" t="s">
        <v>72</v>
      </c>
      <c r="E252" s="2">
        <v>1</v>
      </c>
      <c r="F252" s="2">
        <v>0</v>
      </c>
      <c r="G252" s="20">
        <f t="shared" si="20"/>
        <v>1</v>
      </c>
    </row>
    <row r="253" spans="1:8">
      <c r="A253" s="7" t="s">
        <v>49</v>
      </c>
      <c r="B253" s="20" t="s">
        <v>165</v>
      </c>
      <c r="C253" s="20"/>
      <c r="D253" s="20" t="s">
        <v>62</v>
      </c>
      <c r="E253" s="2">
        <v>2</v>
      </c>
      <c r="F253" s="2">
        <v>0</v>
      </c>
      <c r="G253" s="20">
        <f t="shared" si="20"/>
        <v>2</v>
      </c>
    </row>
    <row r="254" spans="1:8">
      <c r="A254" s="13" t="s">
        <v>49</v>
      </c>
      <c r="B254" s="13" t="s">
        <v>165</v>
      </c>
      <c r="C254" s="13"/>
      <c r="D254" s="13" t="s">
        <v>110</v>
      </c>
      <c r="E254" s="10">
        <v>1</v>
      </c>
      <c r="F254" s="10">
        <v>0</v>
      </c>
      <c r="G254" s="13">
        <f t="shared" si="20"/>
        <v>1</v>
      </c>
      <c r="H254" s="16">
        <f>SUM(G247:G254)</f>
        <v>9</v>
      </c>
    </row>
    <row r="255" spans="1:8">
      <c r="A255" s="7" t="s">
        <v>49</v>
      </c>
      <c r="B255" s="20">
        <v>366</v>
      </c>
      <c r="C255" s="20" t="s">
        <v>166</v>
      </c>
      <c r="D255" s="20" t="s">
        <v>62</v>
      </c>
      <c r="E255" s="2">
        <v>1</v>
      </c>
      <c r="F255" s="2">
        <v>0</v>
      </c>
      <c r="G255" s="20">
        <f t="shared" si="20"/>
        <v>1</v>
      </c>
    </row>
    <row r="256" spans="1:8">
      <c r="A256" s="7" t="s">
        <v>49</v>
      </c>
      <c r="B256" s="20">
        <v>366</v>
      </c>
      <c r="C256" s="20" t="s">
        <v>166</v>
      </c>
      <c r="D256" s="20" t="s">
        <v>139</v>
      </c>
      <c r="E256" s="2">
        <v>1</v>
      </c>
      <c r="F256" s="2">
        <v>0</v>
      </c>
      <c r="G256" s="20">
        <f t="shared" si="20"/>
        <v>1</v>
      </c>
    </row>
    <row r="257" spans="1:8">
      <c r="A257" s="7" t="s">
        <v>49</v>
      </c>
      <c r="B257" s="20">
        <v>366</v>
      </c>
      <c r="C257" s="20" t="s">
        <v>166</v>
      </c>
      <c r="D257" s="20" t="s">
        <v>80</v>
      </c>
      <c r="E257" s="2">
        <v>1</v>
      </c>
      <c r="F257" s="2">
        <v>0</v>
      </c>
      <c r="G257" s="20">
        <f t="shared" si="20"/>
        <v>1</v>
      </c>
    </row>
    <row r="258" spans="1:8">
      <c r="A258" s="7" t="s">
        <v>49</v>
      </c>
      <c r="B258" s="20">
        <v>366</v>
      </c>
      <c r="C258" s="20" t="s">
        <v>166</v>
      </c>
      <c r="D258" s="20" t="s">
        <v>63</v>
      </c>
      <c r="E258" s="2">
        <v>1</v>
      </c>
      <c r="F258" s="2">
        <v>0</v>
      </c>
      <c r="G258" s="20">
        <f t="shared" si="20"/>
        <v>1</v>
      </c>
    </row>
    <row r="259" spans="1:8">
      <c r="A259" s="7" t="s">
        <v>49</v>
      </c>
      <c r="B259" s="20">
        <v>366</v>
      </c>
      <c r="C259" s="20" t="s">
        <v>166</v>
      </c>
      <c r="D259" s="20" t="s">
        <v>72</v>
      </c>
      <c r="E259" s="2">
        <v>1</v>
      </c>
      <c r="F259" s="2">
        <v>0</v>
      </c>
      <c r="G259" s="20">
        <f t="shared" si="20"/>
        <v>1</v>
      </c>
    </row>
    <row r="260" spans="1:8">
      <c r="A260" s="13" t="s">
        <v>49</v>
      </c>
      <c r="B260" s="13">
        <v>366</v>
      </c>
      <c r="C260" s="13" t="s">
        <v>166</v>
      </c>
      <c r="D260" s="13" t="s">
        <v>110</v>
      </c>
      <c r="E260" s="10">
        <v>1</v>
      </c>
      <c r="F260" s="10">
        <v>0</v>
      </c>
      <c r="G260" s="13">
        <f t="shared" si="20"/>
        <v>1</v>
      </c>
      <c r="H260" s="16">
        <f>SUM(G255:G260)</f>
        <v>6</v>
      </c>
    </row>
    <row r="261" spans="1:8">
      <c r="A261" s="13" t="s">
        <v>49</v>
      </c>
      <c r="B261" s="13">
        <v>6868</v>
      </c>
      <c r="C261" s="13" t="s">
        <v>167</v>
      </c>
      <c r="D261" s="13" t="s">
        <v>72</v>
      </c>
      <c r="E261" s="10">
        <v>1</v>
      </c>
      <c r="F261" s="10">
        <v>0</v>
      </c>
      <c r="G261" s="13">
        <f t="shared" si="20"/>
        <v>1</v>
      </c>
      <c r="H261" s="16">
        <f>G261</f>
        <v>1</v>
      </c>
    </row>
    <row r="262" spans="1:8">
      <c r="A262" s="7" t="s">
        <v>168</v>
      </c>
      <c r="B262" s="55" t="s">
        <v>169</v>
      </c>
      <c r="C262" s="20" t="s">
        <v>170</v>
      </c>
      <c r="D262" s="20" t="s">
        <v>64</v>
      </c>
      <c r="E262" s="2">
        <v>1</v>
      </c>
      <c r="F262" s="2">
        <v>0</v>
      </c>
      <c r="G262" s="20">
        <f t="shared" si="20"/>
        <v>1</v>
      </c>
    </row>
    <row r="263" spans="1:8">
      <c r="A263" s="7" t="s">
        <v>168</v>
      </c>
      <c r="B263" s="55" t="s">
        <v>171</v>
      </c>
      <c r="C263" s="20" t="s">
        <v>172</v>
      </c>
      <c r="D263" s="20" t="s">
        <v>173</v>
      </c>
      <c r="E263" s="2">
        <v>1</v>
      </c>
      <c r="F263" s="2">
        <v>0</v>
      </c>
      <c r="G263" s="20">
        <f t="shared" si="20"/>
        <v>1</v>
      </c>
    </row>
    <row r="264" spans="1:8">
      <c r="A264" s="13" t="s">
        <v>168</v>
      </c>
      <c r="B264" s="56" t="s">
        <v>171</v>
      </c>
      <c r="C264" s="13" t="s">
        <v>172</v>
      </c>
      <c r="D264" s="13" t="s">
        <v>70</v>
      </c>
      <c r="E264" s="10">
        <v>1</v>
      </c>
      <c r="F264" s="10">
        <v>0</v>
      </c>
      <c r="G264" s="13">
        <f t="shared" si="20"/>
        <v>1</v>
      </c>
      <c r="H264" s="16">
        <f>SUM(G262:G264)</f>
        <v>3</v>
      </c>
    </row>
    <row r="265" spans="1:8">
      <c r="A265" s="7" t="s">
        <v>174</v>
      </c>
      <c r="B265" s="55" t="s">
        <v>169</v>
      </c>
      <c r="C265" s="20" t="s">
        <v>175</v>
      </c>
      <c r="D265" s="20" t="s">
        <v>61</v>
      </c>
      <c r="E265" s="2">
        <v>1</v>
      </c>
      <c r="F265" s="2">
        <v>0</v>
      </c>
      <c r="G265" s="20">
        <f t="shared" si="20"/>
        <v>1</v>
      </c>
    </row>
    <row r="266" spans="1:8">
      <c r="A266" s="13" t="s">
        <v>174</v>
      </c>
      <c r="B266" s="56" t="s">
        <v>169</v>
      </c>
      <c r="C266" s="13" t="s">
        <v>176</v>
      </c>
      <c r="D266" s="13" t="s">
        <v>62</v>
      </c>
      <c r="E266" s="10">
        <v>1</v>
      </c>
      <c r="F266" s="10">
        <v>0</v>
      </c>
      <c r="G266" s="13">
        <f t="shared" si="20"/>
        <v>1</v>
      </c>
      <c r="H266" s="16">
        <f>SUM(G265:G266)</f>
        <v>2</v>
      </c>
    </row>
    <row r="267" spans="1:8">
      <c r="A267" s="13" t="s">
        <v>174</v>
      </c>
      <c r="B267" s="56" t="s">
        <v>171</v>
      </c>
      <c r="C267" s="35" t="s">
        <v>177</v>
      </c>
      <c r="D267" s="35" t="s">
        <v>105</v>
      </c>
      <c r="E267" s="10">
        <v>1</v>
      </c>
      <c r="F267" s="10">
        <v>0</v>
      </c>
      <c r="G267" s="13">
        <f t="shared" si="20"/>
        <v>1</v>
      </c>
      <c r="H267" s="16">
        <f>G267</f>
        <v>1</v>
      </c>
    </row>
    <row r="268" spans="1:8">
      <c r="A268" s="13" t="s">
        <v>178</v>
      </c>
      <c r="B268" s="13"/>
      <c r="C268" s="13" t="s">
        <v>175</v>
      </c>
      <c r="D268" s="13" t="s">
        <v>70</v>
      </c>
      <c r="E268" s="10">
        <v>1</v>
      </c>
      <c r="F268" s="10">
        <v>0</v>
      </c>
      <c r="G268" s="13">
        <f t="shared" si="20"/>
        <v>1</v>
      </c>
      <c r="H268" s="16">
        <f>G268</f>
        <v>1</v>
      </c>
    </row>
    <row r="269" spans="1:8">
      <c r="A269" s="7" t="s">
        <v>49</v>
      </c>
      <c r="B269" s="20">
        <v>2795</v>
      </c>
      <c r="C269" s="20"/>
      <c r="D269" s="20" t="s">
        <v>105</v>
      </c>
      <c r="E269" s="2">
        <v>1</v>
      </c>
      <c r="F269" s="2">
        <v>0</v>
      </c>
      <c r="G269" s="20">
        <f t="shared" si="20"/>
        <v>1</v>
      </c>
    </row>
    <row r="270" spans="1:8">
      <c r="A270" s="7" t="s">
        <v>49</v>
      </c>
      <c r="B270" s="20">
        <v>190</v>
      </c>
      <c r="C270" s="20"/>
      <c r="D270" s="20" t="s">
        <v>105</v>
      </c>
      <c r="E270" s="2">
        <v>1</v>
      </c>
      <c r="F270" s="2">
        <v>0</v>
      </c>
      <c r="G270" s="20">
        <f t="shared" si="20"/>
        <v>1</v>
      </c>
    </row>
    <row r="271" spans="1:8">
      <c r="A271" s="7" t="s">
        <v>49</v>
      </c>
      <c r="B271" s="20" t="s">
        <v>179</v>
      </c>
      <c r="C271" s="20"/>
      <c r="D271" s="20" t="s">
        <v>63</v>
      </c>
      <c r="E271" s="2">
        <v>1</v>
      </c>
      <c r="F271" s="2">
        <v>0</v>
      </c>
      <c r="G271" s="20">
        <f t="shared" si="20"/>
        <v>1</v>
      </c>
    </row>
    <row r="272" spans="1:8">
      <c r="A272" s="35" t="s">
        <v>49</v>
      </c>
      <c r="B272" s="35" t="s">
        <v>180</v>
      </c>
      <c r="C272" s="35"/>
      <c r="D272" s="35" t="s">
        <v>61</v>
      </c>
      <c r="E272" s="17">
        <v>1</v>
      </c>
      <c r="F272" s="17">
        <v>0</v>
      </c>
      <c r="G272" s="35">
        <f t="shared" si="20"/>
        <v>1</v>
      </c>
      <c r="H272" s="16">
        <f>SUM(G269:G272)</f>
        <v>4</v>
      </c>
    </row>
    <row r="273" spans="1:8">
      <c r="A273" s="7" t="s">
        <v>49</v>
      </c>
      <c r="B273" s="20" t="s">
        <v>180</v>
      </c>
      <c r="C273" s="20"/>
      <c r="D273" s="20" t="s">
        <v>67</v>
      </c>
      <c r="E273" s="2">
        <v>1</v>
      </c>
      <c r="F273" s="2">
        <v>0</v>
      </c>
      <c r="G273" s="20">
        <f t="shared" si="20"/>
        <v>1</v>
      </c>
      <c r="H273" s="21">
        <f>G273</f>
        <v>1</v>
      </c>
    </row>
    <row r="274" spans="1:8">
      <c r="A274" s="7" t="s">
        <v>49</v>
      </c>
      <c r="B274" s="20">
        <v>6869</v>
      </c>
      <c r="C274" s="20" t="s">
        <v>160</v>
      </c>
      <c r="D274" s="20" t="s">
        <v>61</v>
      </c>
      <c r="E274" s="2">
        <v>1</v>
      </c>
      <c r="F274" s="2">
        <v>0</v>
      </c>
      <c r="G274" s="20">
        <f t="shared" si="20"/>
        <v>1</v>
      </c>
      <c r="H274" s="21">
        <f>G274</f>
        <v>1</v>
      </c>
    </row>
    <row r="275" spans="1:8">
      <c r="A275" s="20"/>
      <c r="B275" s="20"/>
      <c r="C275" s="20"/>
      <c r="D275" s="20"/>
      <c r="E275" s="2">
        <v>0</v>
      </c>
      <c r="F275" s="2">
        <v>0</v>
      </c>
      <c r="G275" s="20">
        <f t="shared" si="20"/>
        <v>0</v>
      </c>
    </row>
    <row r="276" s="21" customFormat="1" spans="1:8">
      <c r="E276" s="36">
        <f>SUM(E2:E275)</f>
        <v>322</v>
      </c>
      <c r="F276" s="36">
        <f>SUM(F2:F275)</f>
        <v>37</v>
      </c>
      <c r="G276" s="36">
        <f>SUM(G2:G275)</f>
        <v>359</v>
      </c>
      <c r="H276" s="21">
        <f>SUM(H2:H275)</f>
        <v>359</v>
      </c>
    </row>
    <row r="295" s="21" customFormat="1" spans="2:6">
      <c r="B295" s="29" t="s">
        <v>1</v>
      </c>
      <c r="C295" s="29"/>
      <c r="D295" s="29" t="s">
        <v>60</v>
      </c>
      <c r="E295" s="29" t="s">
        <v>93</v>
      </c>
      <c r="F295" s="8"/>
    </row>
    <row r="296" s="21" customFormat="1" spans="2:6">
      <c r="B296" s="2" t="s">
        <v>96</v>
      </c>
      <c r="C296" s="2"/>
      <c r="D296" s="2" t="s">
        <v>61</v>
      </c>
      <c r="E296" s="2">
        <v>0</v>
      </c>
      <c r="F296" s="8"/>
    </row>
    <row r="297" s="21" customFormat="1" spans="2:6">
      <c r="B297" s="2" t="s">
        <v>96</v>
      </c>
      <c r="C297" s="2"/>
      <c r="D297" s="2" t="s">
        <v>87</v>
      </c>
      <c r="E297" s="2">
        <v>0</v>
      </c>
      <c r="F297" s="8"/>
    </row>
    <row r="298" s="21" customFormat="1" spans="2:6">
      <c r="B298" s="2" t="s">
        <v>96</v>
      </c>
      <c r="C298" s="2"/>
      <c r="D298" s="2" t="s">
        <v>70</v>
      </c>
      <c r="E298" s="2">
        <v>0</v>
      </c>
      <c r="F298" s="8"/>
    </row>
    <row r="299" s="21" customFormat="1" spans="2:6">
      <c r="B299" s="20"/>
      <c r="C299" s="20"/>
      <c r="D299" s="20"/>
      <c r="E299" s="20">
        <f>E296+E297+E298</f>
        <v>0</v>
      </c>
    </row>
  </sheetData>
  <pageMargins left="0.75" right="0.75" top="1" bottom="1" header="0.5" footer="0.5"/>
  <headerFooter/>
  <ignoredErrors>
    <ignoredError sqref="B12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topLeftCell="A24" workbookViewId="0">
      <selection activeCell="E41" sqref="E41"/>
    </sheetView>
  </sheetViews>
  <sheetFormatPr defaultColWidth="9.14285714285714" defaultRowHeight="15" outlineLevelCol="7"/>
  <cols>
    <col min="1" max="2" width="19.5714285714286" customWidth="1"/>
    <col min="3" max="3" width="25.7142857142857" customWidth="1"/>
    <col min="4" max="4" width="19.4285714285714" customWidth="1"/>
    <col min="5" max="5" width="11"/>
    <col min="6" max="6" width="12.8571428571429" customWidth="1"/>
    <col min="7" max="7" width="11"/>
  </cols>
  <sheetData>
    <row r="1" spans="1:8">
      <c r="A1" s="2" t="s">
        <v>0</v>
      </c>
      <c r="B1" s="2" t="s">
        <v>1</v>
      </c>
      <c r="C1" s="2" t="s">
        <v>2</v>
      </c>
      <c r="D1" s="3" t="s">
        <v>60</v>
      </c>
      <c r="E1" s="2" t="s">
        <v>97</v>
      </c>
      <c r="F1" s="4" t="s">
        <v>3</v>
      </c>
      <c r="G1" s="5"/>
    </row>
    <row r="2" spans="1:8">
      <c r="A2" s="2" t="s">
        <v>29</v>
      </c>
      <c r="B2" s="2"/>
      <c r="C2" s="2" t="s">
        <v>181</v>
      </c>
      <c r="D2" s="3" t="s">
        <v>68</v>
      </c>
      <c r="E2" s="2">
        <v>5</v>
      </c>
      <c r="F2" s="25">
        <f t="shared" ref="F2:F9" si="0">SUM(E2:E2)</f>
        <v>5</v>
      </c>
      <c r="G2" s="8"/>
    </row>
    <row r="3" spans="1:8">
      <c r="A3" s="2" t="s">
        <v>29</v>
      </c>
      <c r="B3" s="2"/>
      <c r="C3" s="2" t="s">
        <v>181</v>
      </c>
      <c r="D3" s="3" t="s">
        <v>105</v>
      </c>
      <c r="E3" s="2">
        <v>3</v>
      </c>
      <c r="F3" s="25">
        <f t="shared" si="0"/>
        <v>3</v>
      </c>
      <c r="G3" s="8"/>
    </row>
    <row r="4" spans="1:8">
      <c r="A4" s="2" t="s">
        <v>29</v>
      </c>
      <c r="B4" s="2"/>
      <c r="C4" s="2" t="s">
        <v>181</v>
      </c>
      <c r="D4" s="3" t="s">
        <v>86</v>
      </c>
      <c r="E4" s="2">
        <v>2</v>
      </c>
      <c r="F4" s="25">
        <f t="shared" si="0"/>
        <v>2</v>
      </c>
      <c r="G4" s="8"/>
    </row>
    <row r="5" spans="1:8">
      <c r="A5" s="2" t="s">
        <v>29</v>
      </c>
      <c r="B5" s="2"/>
      <c r="C5" s="2" t="s">
        <v>181</v>
      </c>
      <c r="D5" s="3" t="s">
        <v>61</v>
      </c>
      <c r="E5" s="2">
        <v>5</v>
      </c>
      <c r="F5" s="25">
        <f t="shared" si="0"/>
        <v>5</v>
      </c>
      <c r="G5" s="8"/>
    </row>
    <row r="6" spans="1:8">
      <c r="A6" s="2" t="s">
        <v>29</v>
      </c>
      <c r="B6" s="2"/>
      <c r="C6" s="2" t="s">
        <v>181</v>
      </c>
      <c r="D6" s="3" t="s">
        <v>134</v>
      </c>
      <c r="E6" s="2">
        <v>2</v>
      </c>
      <c r="F6" s="25">
        <f t="shared" si="0"/>
        <v>2</v>
      </c>
      <c r="G6" s="8"/>
    </row>
    <row r="7" spans="1:8">
      <c r="A7" s="10" t="s">
        <v>29</v>
      </c>
      <c r="B7" s="10"/>
      <c r="C7" s="10" t="s">
        <v>181</v>
      </c>
      <c r="D7" s="11" t="s">
        <v>62</v>
      </c>
      <c r="E7" s="10">
        <v>3</v>
      </c>
      <c r="F7" s="26">
        <f t="shared" si="0"/>
        <v>3</v>
      </c>
      <c r="G7" s="14">
        <f>SUM(F2:F7)</f>
        <v>20</v>
      </c>
    </row>
    <row r="8" spans="1:8">
      <c r="A8" s="10" t="s">
        <v>29</v>
      </c>
      <c r="B8" s="10"/>
      <c r="C8" s="10" t="s">
        <v>182</v>
      </c>
      <c r="D8" s="11" t="s">
        <v>183</v>
      </c>
      <c r="E8" s="10">
        <v>2</v>
      </c>
      <c r="F8" s="26">
        <f t="shared" si="0"/>
        <v>2</v>
      </c>
      <c r="G8" s="10">
        <f>F8</f>
        <v>2</v>
      </c>
    </row>
    <row r="9" spans="1:8">
      <c r="A9" s="2" t="s">
        <v>29</v>
      </c>
      <c r="B9" s="2"/>
      <c r="C9" s="2" t="s">
        <v>184</v>
      </c>
      <c r="D9" s="3" t="s">
        <v>72</v>
      </c>
      <c r="E9" s="2">
        <v>1</v>
      </c>
      <c r="F9" s="27">
        <f t="shared" si="0"/>
        <v>1</v>
      </c>
      <c r="G9" s="8"/>
    </row>
    <row r="10" spans="1:8">
      <c r="A10" s="10" t="s">
        <v>29</v>
      </c>
      <c r="B10" s="10"/>
      <c r="C10" s="10" t="s">
        <v>184</v>
      </c>
      <c r="D10" s="11" t="s">
        <v>138</v>
      </c>
      <c r="E10" s="10">
        <v>1</v>
      </c>
      <c r="F10" s="26">
        <f t="shared" ref="F10:F41" si="1">SUM(E10:E10)</f>
        <v>1</v>
      </c>
      <c r="G10" s="14">
        <f>SUM(F9:F10)</f>
        <v>2</v>
      </c>
      <c r="H10">
        <f>G7+G8+G10</f>
        <v>24</v>
      </c>
    </row>
    <row r="11" spans="1:8">
      <c r="A11" s="2" t="s">
        <v>32</v>
      </c>
      <c r="B11" s="2"/>
      <c r="C11" s="2" t="s">
        <v>33</v>
      </c>
      <c r="D11" s="3" t="s">
        <v>61</v>
      </c>
      <c r="E11" s="2">
        <v>1</v>
      </c>
      <c r="F11" s="25">
        <f t="shared" si="1"/>
        <v>1</v>
      </c>
      <c r="G11" s="8"/>
    </row>
    <row r="12" spans="1:8">
      <c r="A12" s="2" t="s">
        <v>32</v>
      </c>
      <c r="B12" s="2"/>
      <c r="C12" s="2" t="s">
        <v>33</v>
      </c>
      <c r="D12" s="3" t="s">
        <v>62</v>
      </c>
      <c r="E12" s="2">
        <v>2</v>
      </c>
      <c r="F12" s="25">
        <f t="shared" si="1"/>
        <v>2</v>
      </c>
      <c r="G12" s="8"/>
    </row>
    <row r="13" spans="1:8">
      <c r="A13" s="2" t="s">
        <v>32</v>
      </c>
      <c r="B13" s="2"/>
      <c r="C13" s="2" t="s">
        <v>33</v>
      </c>
      <c r="D13" s="3" t="s">
        <v>103</v>
      </c>
      <c r="E13" s="2">
        <v>2</v>
      </c>
      <c r="F13" s="25">
        <f t="shared" si="1"/>
        <v>2</v>
      </c>
      <c r="G13" s="8"/>
    </row>
    <row r="14" spans="1:8">
      <c r="A14" s="2" t="s">
        <v>32</v>
      </c>
      <c r="B14" s="2"/>
      <c r="C14" s="2" t="s">
        <v>33</v>
      </c>
      <c r="D14" s="3" t="s">
        <v>110</v>
      </c>
      <c r="E14" s="2">
        <v>2</v>
      </c>
      <c r="F14" s="25">
        <f t="shared" si="1"/>
        <v>2</v>
      </c>
      <c r="G14" s="8"/>
    </row>
    <row r="15" spans="1:8">
      <c r="A15" s="2" t="s">
        <v>32</v>
      </c>
      <c r="B15" s="2"/>
      <c r="C15" s="2" t="s">
        <v>33</v>
      </c>
      <c r="D15" s="3" t="s">
        <v>78</v>
      </c>
      <c r="E15" s="2">
        <v>1</v>
      </c>
      <c r="F15" s="25">
        <f t="shared" si="1"/>
        <v>1</v>
      </c>
      <c r="G15" s="8"/>
    </row>
    <row r="16" spans="1:8">
      <c r="A16" s="2" t="s">
        <v>32</v>
      </c>
      <c r="B16" s="27"/>
      <c r="C16" s="2" t="s">
        <v>33</v>
      </c>
      <c r="D16" s="27" t="s">
        <v>64</v>
      </c>
      <c r="E16" s="2">
        <v>2</v>
      </c>
      <c r="F16" s="25">
        <f t="shared" si="1"/>
        <v>2</v>
      </c>
      <c r="G16" s="24"/>
    </row>
    <row r="17" spans="1:7">
      <c r="A17" s="2" t="s">
        <v>32</v>
      </c>
      <c r="B17" s="25"/>
      <c r="C17" s="2" t="s">
        <v>33</v>
      </c>
      <c r="D17" s="25" t="s">
        <v>80</v>
      </c>
      <c r="E17" s="2">
        <v>1</v>
      </c>
      <c r="F17" s="25">
        <f t="shared" si="1"/>
        <v>1</v>
      </c>
      <c r="G17" s="24"/>
    </row>
    <row r="18" spans="1:7">
      <c r="A18" s="2" t="s">
        <v>32</v>
      </c>
      <c r="B18" s="25"/>
      <c r="C18" s="2" t="s">
        <v>33</v>
      </c>
      <c r="D18" s="25" t="s">
        <v>173</v>
      </c>
      <c r="E18" s="2">
        <v>2</v>
      </c>
      <c r="F18" s="25">
        <f t="shared" si="1"/>
        <v>2</v>
      </c>
    </row>
    <row r="19" spans="1:7">
      <c r="A19" s="2" t="s">
        <v>32</v>
      </c>
      <c r="B19" s="25"/>
      <c r="C19" s="2" t="s">
        <v>33</v>
      </c>
      <c r="D19" s="25" t="s">
        <v>125</v>
      </c>
      <c r="E19" s="2">
        <v>1</v>
      </c>
      <c r="F19" s="25">
        <f t="shared" si="1"/>
        <v>1</v>
      </c>
    </row>
    <row r="20" spans="1:7">
      <c r="A20" s="10" t="s">
        <v>32</v>
      </c>
      <c r="B20" s="26"/>
      <c r="C20" s="10" t="s">
        <v>33</v>
      </c>
      <c r="D20" s="26" t="s">
        <v>88</v>
      </c>
      <c r="E20" s="10">
        <v>2</v>
      </c>
      <c r="F20" s="26">
        <f t="shared" si="1"/>
        <v>2</v>
      </c>
      <c r="G20" s="14">
        <f>SUM(F11:F20)</f>
        <v>16</v>
      </c>
    </row>
    <row r="21" spans="1:7">
      <c r="A21" s="2" t="s">
        <v>34</v>
      </c>
      <c r="B21" s="25"/>
      <c r="C21" s="25" t="s">
        <v>185</v>
      </c>
      <c r="D21" s="25" t="s">
        <v>80</v>
      </c>
      <c r="E21" s="2">
        <v>1</v>
      </c>
      <c r="F21" s="25">
        <f t="shared" si="1"/>
        <v>1</v>
      </c>
    </row>
    <row r="22" spans="1:7">
      <c r="A22" s="2" t="s">
        <v>34</v>
      </c>
      <c r="B22" s="25"/>
      <c r="C22" s="25" t="s">
        <v>185</v>
      </c>
      <c r="D22" s="25" t="s">
        <v>100</v>
      </c>
      <c r="E22" s="2">
        <v>1</v>
      </c>
      <c r="F22" s="25">
        <f t="shared" si="1"/>
        <v>1</v>
      </c>
    </row>
    <row r="23" spans="1:7">
      <c r="A23" s="2" t="s">
        <v>34</v>
      </c>
      <c r="B23" s="25"/>
      <c r="C23" s="25" t="s">
        <v>185</v>
      </c>
      <c r="D23" s="25" t="s">
        <v>62</v>
      </c>
      <c r="E23" s="2">
        <v>1</v>
      </c>
      <c r="F23" s="25">
        <f t="shared" si="1"/>
        <v>1</v>
      </c>
    </row>
    <row r="24" spans="1:7">
      <c r="A24" s="2" t="s">
        <v>34</v>
      </c>
      <c r="B24" s="25"/>
      <c r="C24" s="25" t="s">
        <v>185</v>
      </c>
      <c r="D24" s="25" t="s">
        <v>61</v>
      </c>
      <c r="E24" s="2">
        <v>1</v>
      </c>
      <c r="F24" s="25">
        <f t="shared" si="1"/>
        <v>1</v>
      </c>
    </row>
    <row r="25" spans="1:7">
      <c r="A25" s="2" t="s">
        <v>34</v>
      </c>
      <c r="B25" s="25"/>
      <c r="C25" s="25" t="s">
        <v>185</v>
      </c>
      <c r="D25" s="25" t="s">
        <v>103</v>
      </c>
      <c r="E25" s="2">
        <v>1</v>
      </c>
      <c r="F25" s="25">
        <f t="shared" si="1"/>
        <v>1</v>
      </c>
    </row>
    <row r="26" spans="1:7">
      <c r="A26" s="2" t="s">
        <v>34</v>
      </c>
      <c r="B26" s="25"/>
      <c r="C26" s="25" t="s">
        <v>185</v>
      </c>
      <c r="D26" s="25" t="s">
        <v>186</v>
      </c>
      <c r="E26" s="2">
        <v>1</v>
      </c>
      <c r="F26" s="25">
        <f t="shared" si="1"/>
        <v>1</v>
      </c>
    </row>
    <row r="27" spans="1:7">
      <c r="A27" s="2" t="s">
        <v>34</v>
      </c>
      <c r="B27" s="25"/>
      <c r="C27" s="25" t="s">
        <v>185</v>
      </c>
      <c r="D27" s="25" t="s">
        <v>86</v>
      </c>
      <c r="E27" s="2">
        <v>1</v>
      </c>
      <c r="F27" s="25">
        <f t="shared" si="1"/>
        <v>1</v>
      </c>
    </row>
    <row r="28" spans="1:7">
      <c r="A28" s="2" t="s">
        <v>34</v>
      </c>
      <c r="B28" s="25"/>
      <c r="C28" s="25" t="s">
        <v>185</v>
      </c>
      <c r="D28" s="25" t="s">
        <v>78</v>
      </c>
      <c r="E28" s="2">
        <v>1</v>
      </c>
      <c r="F28" s="25">
        <f t="shared" si="1"/>
        <v>1</v>
      </c>
    </row>
    <row r="29" spans="1:7">
      <c r="A29" s="2" t="s">
        <v>34</v>
      </c>
      <c r="B29" s="25"/>
      <c r="C29" s="25" t="s">
        <v>185</v>
      </c>
      <c r="D29" s="25" t="s">
        <v>90</v>
      </c>
      <c r="E29" s="2">
        <v>1</v>
      </c>
      <c r="F29" s="25">
        <f t="shared" si="1"/>
        <v>1</v>
      </c>
    </row>
    <row r="30" spans="1:7">
      <c r="A30" s="2" t="s">
        <v>34</v>
      </c>
      <c r="B30" s="25"/>
      <c r="C30" s="25" t="s">
        <v>185</v>
      </c>
      <c r="D30" s="25" t="s">
        <v>187</v>
      </c>
      <c r="E30" s="2">
        <v>1</v>
      </c>
      <c r="F30" s="25">
        <f t="shared" si="1"/>
        <v>1</v>
      </c>
    </row>
    <row r="31" spans="1:7">
      <c r="A31" s="2" t="s">
        <v>34</v>
      </c>
      <c r="B31" s="25"/>
      <c r="C31" s="25" t="s">
        <v>185</v>
      </c>
      <c r="D31" s="25" t="s">
        <v>173</v>
      </c>
      <c r="E31" s="2">
        <v>1</v>
      </c>
      <c r="F31" s="25">
        <f t="shared" si="1"/>
        <v>1</v>
      </c>
    </row>
    <row r="32" spans="1:7">
      <c r="A32" s="2" t="s">
        <v>34</v>
      </c>
      <c r="B32" s="25"/>
      <c r="C32" s="25" t="s">
        <v>185</v>
      </c>
      <c r="D32" s="25" t="s">
        <v>188</v>
      </c>
      <c r="E32" s="2">
        <v>1</v>
      </c>
      <c r="F32" s="25">
        <f t="shared" si="1"/>
        <v>1</v>
      </c>
    </row>
    <row r="33" spans="1:7">
      <c r="A33" s="2" t="s">
        <v>34</v>
      </c>
      <c r="B33" s="25"/>
      <c r="C33" s="25" t="s">
        <v>185</v>
      </c>
      <c r="D33" s="25" t="s">
        <v>110</v>
      </c>
      <c r="E33" s="2">
        <v>1</v>
      </c>
      <c r="F33" s="25">
        <f t="shared" si="1"/>
        <v>1</v>
      </c>
      <c r="G33" t="s">
        <v>189</v>
      </c>
    </row>
    <row r="34" spans="1:7">
      <c r="A34" s="10" t="s">
        <v>34</v>
      </c>
      <c r="B34" s="26"/>
      <c r="C34" s="26" t="s">
        <v>185</v>
      </c>
      <c r="D34" s="26" t="s">
        <v>68</v>
      </c>
      <c r="E34" s="10">
        <v>1</v>
      </c>
      <c r="F34" s="26">
        <f t="shared" si="1"/>
        <v>1</v>
      </c>
      <c r="G34" s="14">
        <f>SUM(F21:F34)</f>
        <v>14</v>
      </c>
    </row>
    <row r="35" spans="1:7">
      <c r="A35" s="2" t="s">
        <v>35</v>
      </c>
      <c r="B35" s="25"/>
      <c r="C35" s="25" t="s">
        <v>36</v>
      </c>
      <c r="D35" s="25" t="s">
        <v>62</v>
      </c>
      <c r="E35" s="2">
        <v>1</v>
      </c>
      <c r="F35" s="25">
        <f t="shared" si="1"/>
        <v>1</v>
      </c>
    </row>
    <row r="36" spans="1:7">
      <c r="A36" s="2" t="s">
        <v>35</v>
      </c>
      <c r="B36" s="25"/>
      <c r="C36" s="25" t="s">
        <v>36</v>
      </c>
      <c r="D36" s="25" t="s">
        <v>61</v>
      </c>
      <c r="E36" s="2">
        <v>1</v>
      </c>
      <c r="F36" s="25">
        <f t="shared" si="1"/>
        <v>1</v>
      </c>
    </row>
    <row r="37" spans="1:7">
      <c r="A37" s="2" t="s">
        <v>35</v>
      </c>
      <c r="B37" s="25"/>
      <c r="C37" s="25" t="s">
        <v>36</v>
      </c>
      <c r="D37" s="25" t="s">
        <v>78</v>
      </c>
      <c r="E37" s="2">
        <v>1</v>
      </c>
      <c r="F37" s="25">
        <f t="shared" si="1"/>
        <v>1</v>
      </c>
    </row>
    <row r="38" spans="1:7">
      <c r="A38" s="2" t="s">
        <v>35</v>
      </c>
      <c r="B38" s="25"/>
      <c r="C38" s="25" t="s">
        <v>36</v>
      </c>
      <c r="D38" s="25" t="s">
        <v>72</v>
      </c>
      <c r="E38" s="2">
        <v>1</v>
      </c>
      <c r="F38" s="25">
        <f t="shared" si="1"/>
        <v>1</v>
      </c>
      <c r="G38" t="s">
        <v>189</v>
      </c>
    </row>
    <row r="39" spans="1:7">
      <c r="A39" s="10" t="s">
        <v>35</v>
      </c>
      <c r="B39" s="26"/>
      <c r="C39" s="26" t="s">
        <v>36</v>
      </c>
      <c r="D39" s="26" t="s">
        <v>110</v>
      </c>
      <c r="E39" s="10">
        <v>1</v>
      </c>
      <c r="F39" s="26">
        <f t="shared" si="1"/>
        <v>1</v>
      </c>
      <c r="G39" s="14">
        <f>SUM(F35:F39)</f>
        <v>5</v>
      </c>
    </row>
    <row r="40" s="24" customFormat="1" spans="1:7">
      <c r="A40" s="2"/>
      <c r="B40" s="27"/>
      <c r="C40" s="27"/>
      <c r="D40" s="27"/>
      <c r="E40" s="2">
        <v>0</v>
      </c>
      <c r="F40" s="25">
        <f t="shared" si="1"/>
        <v>0</v>
      </c>
      <c r="G40" s="8"/>
    </row>
    <row r="41" spans="1:7">
      <c r="A41" s="2"/>
      <c r="B41" s="25"/>
      <c r="C41" s="25"/>
      <c r="D41" s="25"/>
      <c r="E41" s="2">
        <v>0</v>
      </c>
      <c r="F41" s="25">
        <f t="shared" si="1"/>
        <v>0</v>
      </c>
    </row>
    <row r="42" customFormat="1" spans="1:7">
      <c r="E42" s="28">
        <f>SUM(E2:E41)</f>
        <v>59</v>
      </c>
      <c r="F42" s="28">
        <f>SUM(F2:F41)</f>
        <v>59</v>
      </c>
      <c r="G42">
        <f>G39+G34+G20+G10+G8+G7</f>
        <v>59</v>
      </c>
    </row>
    <row r="61" customFormat="1" spans="1:5">
      <c r="A61" s="29" t="s">
        <v>1</v>
      </c>
      <c r="B61" s="29"/>
      <c r="C61" s="29"/>
      <c r="D61" s="30" t="s">
        <v>60</v>
      </c>
      <c r="E61" s="29" t="s">
        <v>95</v>
      </c>
    </row>
    <row r="62" customFormat="1" spans="1:5">
      <c r="A62" s="2" t="s">
        <v>96</v>
      </c>
      <c r="B62" s="2"/>
      <c r="C62" s="2"/>
      <c r="D62" s="2" t="s">
        <v>61</v>
      </c>
      <c r="E62" s="2">
        <v>4</v>
      </c>
    </row>
    <row r="63" customFormat="1" spans="1:5">
      <c r="A63" s="2" t="s">
        <v>96</v>
      </c>
      <c r="B63" s="2"/>
      <c r="C63" s="2"/>
      <c r="D63" s="2" t="s">
        <v>87</v>
      </c>
      <c r="E63" s="2">
        <v>0</v>
      </c>
    </row>
    <row r="64" customFormat="1" spans="1:5">
      <c r="A64" s="2" t="s">
        <v>96</v>
      </c>
      <c r="B64" s="2"/>
      <c r="C64" s="2"/>
      <c r="D64" s="2" t="s">
        <v>70</v>
      </c>
      <c r="E64" s="2">
        <v>1</v>
      </c>
    </row>
    <row r="65" customFormat="1" spans="1:5">
      <c r="A65" s="20"/>
      <c r="B65" s="20"/>
      <c r="C65" s="20"/>
      <c r="D65" s="20"/>
      <c r="E65" s="20">
        <f>E62+E63+E64</f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ySplit="1" topLeftCell="A25" activePane="bottomLeft" state="frozen"/>
      <selection/>
      <selection pane="bottomLeft" activeCell="D45" sqref="D45"/>
    </sheetView>
  </sheetViews>
  <sheetFormatPr defaultColWidth="9.14285714285714" defaultRowHeight="15" outlineLevelCol="7"/>
  <cols>
    <col min="1" max="1" width="18.1428571428571" style="21" customWidth="1"/>
    <col min="2" max="2" width="19.5714285714286" style="21" customWidth="1"/>
    <col min="3" max="3" width="25" style="21" customWidth="1"/>
    <col min="4" max="6" width="19.4285714285714" style="21" customWidth="1"/>
    <col min="7" max="7" width="13.1428571428571" style="21" customWidth="1"/>
    <col min="8" max="8" width="9.14285714285714" style="21"/>
  </cols>
  <sheetData>
    <row r="1" spans="1:8">
      <c r="A1" s="20" t="s">
        <v>0</v>
      </c>
      <c r="B1" s="2" t="s">
        <v>1</v>
      </c>
      <c r="C1" s="2" t="s">
        <v>2</v>
      </c>
      <c r="D1" s="2" t="s">
        <v>60</v>
      </c>
      <c r="E1" s="10" t="s">
        <v>190</v>
      </c>
      <c r="F1" s="10" t="s">
        <v>94</v>
      </c>
      <c r="G1" s="4" t="s">
        <v>3</v>
      </c>
    </row>
    <row r="2" spans="1:8">
      <c r="A2" s="20" t="s">
        <v>46</v>
      </c>
      <c r="B2" s="55" t="s">
        <v>191</v>
      </c>
      <c r="C2" s="20" t="s">
        <v>192</v>
      </c>
      <c r="D2" s="20" t="s">
        <v>61</v>
      </c>
      <c r="E2" s="2">
        <v>0</v>
      </c>
      <c r="F2" s="20">
        <v>3</v>
      </c>
      <c r="G2" s="20">
        <f t="shared" ref="G2:G56" si="0">E2+F2</f>
        <v>3</v>
      </c>
    </row>
    <row r="3" spans="1:8">
      <c r="A3" s="20" t="s">
        <v>46</v>
      </c>
      <c r="B3" s="55" t="s">
        <v>191</v>
      </c>
      <c r="C3" s="20" t="s">
        <v>192</v>
      </c>
      <c r="D3" s="20" t="s">
        <v>62</v>
      </c>
      <c r="E3" s="2">
        <v>0</v>
      </c>
      <c r="F3" s="20">
        <v>3</v>
      </c>
      <c r="G3" s="20">
        <f t="shared" si="0"/>
        <v>3</v>
      </c>
    </row>
    <row r="4" spans="1:8">
      <c r="A4" s="20" t="s">
        <v>46</v>
      </c>
      <c r="B4" s="55" t="s">
        <v>191</v>
      </c>
      <c r="C4" s="20" t="s">
        <v>192</v>
      </c>
      <c r="D4" s="20" t="s">
        <v>100</v>
      </c>
      <c r="E4" s="2">
        <v>0</v>
      </c>
      <c r="F4" s="20">
        <v>1</v>
      </c>
      <c r="G4" s="20">
        <f t="shared" si="0"/>
        <v>1</v>
      </c>
    </row>
    <row r="5" spans="1:8">
      <c r="A5" s="20" t="s">
        <v>46</v>
      </c>
      <c r="B5" s="55" t="s">
        <v>191</v>
      </c>
      <c r="C5" s="20" t="s">
        <v>192</v>
      </c>
      <c r="D5" s="20" t="s">
        <v>103</v>
      </c>
      <c r="E5" s="2">
        <v>0</v>
      </c>
      <c r="F5" s="20">
        <v>1</v>
      </c>
      <c r="G5" s="20">
        <f t="shared" si="0"/>
        <v>1</v>
      </c>
    </row>
    <row r="6" spans="1:8">
      <c r="A6" s="20" t="s">
        <v>46</v>
      </c>
      <c r="B6" s="55" t="s">
        <v>191</v>
      </c>
      <c r="C6" s="20" t="s">
        <v>192</v>
      </c>
      <c r="D6" s="20" t="s">
        <v>80</v>
      </c>
      <c r="E6" s="2">
        <v>0</v>
      </c>
      <c r="F6" s="20">
        <v>1</v>
      </c>
      <c r="G6" s="20">
        <f t="shared" si="0"/>
        <v>1</v>
      </c>
    </row>
    <row r="7" spans="1:8">
      <c r="A7" s="20" t="s">
        <v>46</v>
      </c>
      <c r="B7" s="55" t="s">
        <v>191</v>
      </c>
      <c r="C7" s="20" t="s">
        <v>192</v>
      </c>
      <c r="D7" s="20" t="s">
        <v>118</v>
      </c>
      <c r="E7" s="2">
        <v>0</v>
      </c>
      <c r="F7" s="20">
        <v>1</v>
      </c>
      <c r="G7" s="20">
        <f t="shared" si="0"/>
        <v>1</v>
      </c>
    </row>
    <row r="8" spans="1:8">
      <c r="A8" s="20" t="s">
        <v>46</v>
      </c>
      <c r="B8" s="55" t="s">
        <v>191</v>
      </c>
      <c r="C8" s="20" t="s">
        <v>192</v>
      </c>
      <c r="D8" s="20" t="s">
        <v>193</v>
      </c>
      <c r="E8" s="2">
        <v>0</v>
      </c>
      <c r="F8" s="20">
        <v>2</v>
      </c>
      <c r="G8" s="20">
        <f t="shared" si="0"/>
        <v>2</v>
      </c>
    </row>
    <row r="9" spans="1:8">
      <c r="A9" s="20" t="s">
        <v>46</v>
      </c>
      <c r="B9" s="55" t="s">
        <v>191</v>
      </c>
      <c r="C9" s="20" t="s">
        <v>192</v>
      </c>
      <c r="D9" s="20" t="s">
        <v>88</v>
      </c>
      <c r="E9" s="2">
        <v>0</v>
      </c>
      <c r="F9" s="20">
        <v>2</v>
      </c>
      <c r="G9" s="20">
        <f t="shared" si="0"/>
        <v>2</v>
      </c>
    </row>
    <row r="10" spans="1:8">
      <c r="A10" s="20" t="s">
        <v>46</v>
      </c>
      <c r="B10" s="55" t="s">
        <v>191</v>
      </c>
      <c r="C10" s="20" t="s">
        <v>192</v>
      </c>
      <c r="D10" s="20" t="s">
        <v>69</v>
      </c>
      <c r="E10" s="2">
        <v>0</v>
      </c>
      <c r="F10" s="20">
        <v>2</v>
      </c>
      <c r="G10" s="20">
        <f t="shared" si="0"/>
        <v>2</v>
      </c>
    </row>
    <row r="11" spans="1:8">
      <c r="A11" s="13" t="s">
        <v>46</v>
      </c>
      <c r="B11" s="56" t="s">
        <v>191</v>
      </c>
      <c r="C11" s="13" t="s">
        <v>192</v>
      </c>
      <c r="D11" s="13" t="s">
        <v>63</v>
      </c>
      <c r="E11" s="10">
        <v>0</v>
      </c>
      <c r="F11" s="13">
        <v>2</v>
      </c>
      <c r="G11" s="13">
        <f t="shared" si="0"/>
        <v>2</v>
      </c>
      <c r="H11" s="16">
        <f>SUM(G2:G11)</f>
        <v>18</v>
      </c>
    </row>
    <row r="12" spans="1:8">
      <c r="A12" s="20" t="s">
        <v>46</v>
      </c>
      <c r="B12" s="55" t="s">
        <v>194</v>
      </c>
      <c r="C12" s="20" t="s">
        <v>195</v>
      </c>
      <c r="D12" s="20" t="s">
        <v>62</v>
      </c>
      <c r="E12" s="2">
        <v>7</v>
      </c>
      <c r="F12" s="20">
        <v>0</v>
      </c>
      <c r="G12" s="20">
        <f t="shared" si="0"/>
        <v>7</v>
      </c>
    </row>
    <row r="13" spans="1:8">
      <c r="A13" s="20" t="s">
        <v>46</v>
      </c>
      <c r="B13" s="55" t="s">
        <v>194</v>
      </c>
      <c r="C13" s="20" t="s">
        <v>195</v>
      </c>
      <c r="D13" s="20" t="s">
        <v>100</v>
      </c>
      <c r="E13" s="2">
        <v>2</v>
      </c>
      <c r="F13" s="20">
        <v>0</v>
      </c>
      <c r="G13" s="20">
        <f t="shared" si="0"/>
        <v>2</v>
      </c>
    </row>
    <row r="14" spans="1:8">
      <c r="A14" s="20" t="s">
        <v>46</v>
      </c>
      <c r="B14" s="55" t="s">
        <v>194</v>
      </c>
      <c r="C14" s="20" t="s">
        <v>195</v>
      </c>
      <c r="D14" s="20" t="s">
        <v>122</v>
      </c>
      <c r="E14" s="2">
        <v>1</v>
      </c>
      <c r="F14" s="20">
        <v>0</v>
      </c>
      <c r="G14" s="20">
        <f t="shared" si="0"/>
        <v>1</v>
      </c>
    </row>
    <row r="15" spans="1:8">
      <c r="A15" s="20" t="s">
        <v>46</v>
      </c>
      <c r="B15" s="55" t="s">
        <v>194</v>
      </c>
      <c r="C15" s="20" t="s">
        <v>195</v>
      </c>
      <c r="D15" s="20" t="s">
        <v>101</v>
      </c>
      <c r="E15" s="20">
        <v>3</v>
      </c>
      <c r="F15" s="20">
        <v>0</v>
      </c>
      <c r="G15" s="20">
        <f t="shared" si="0"/>
        <v>3</v>
      </c>
    </row>
    <row r="16" spans="1:8">
      <c r="A16" s="20" t="s">
        <v>46</v>
      </c>
      <c r="B16" s="55" t="s">
        <v>194</v>
      </c>
      <c r="C16" s="20" t="s">
        <v>195</v>
      </c>
      <c r="D16" s="20" t="s">
        <v>78</v>
      </c>
      <c r="E16" s="20">
        <v>2</v>
      </c>
      <c r="F16" s="20">
        <v>0</v>
      </c>
      <c r="G16" s="20">
        <f t="shared" si="0"/>
        <v>2</v>
      </c>
    </row>
    <row r="17" spans="1:8">
      <c r="A17" s="20" t="s">
        <v>46</v>
      </c>
      <c r="B17" s="55" t="s">
        <v>194</v>
      </c>
      <c r="C17" s="20" t="s">
        <v>195</v>
      </c>
      <c r="D17" s="20" t="s">
        <v>65</v>
      </c>
      <c r="E17" s="20">
        <v>4</v>
      </c>
      <c r="F17" s="20">
        <v>0</v>
      </c>
      <c r="G17" s="20">
        <f t="shared" si="0"/>
        <v>4</v>
      </c>
    </row>
    <row r="18" spans="1:8">
      <c r="A18" s="20" t="s">
        <v>46</v>
      </c>
      <c r="B18" s="55" t="s">
        <v>194</v>
      </c>
      <c r="C18" s="20" t="s">
        <v>195</v>
      </c>
      <c r="D18" s="20" t="s">
        <v>80</v>
      </c>
      <c r="E18" s="20">
        <v>1</v>
      </c>
      <c r="F18" s="20">
        <v>0</v>
      </c>
      <c r="G18" s="20">
        <f t="shared" si="0"/>
        <v>1</v>
      </c>
    </row>
    <row r="19" spans="1:8">
      <c r="A19" s="20" t="s">
        <v>46</v>
      </c>
      <c r="B19" s="55" t="s">
        <v>194</v>
      </c>
      <c r="C19" s="20" t="s">
        <v>195</v>
      </c>
      <c r="D19" s="20" t="s">
        <v>118</v>
      </c>
      <c r="E19" s="20">
        <v>2</v>
      </c>
      <c r="F19" s="20">
        <v>0</v>
      </c>
      <c r="G19" s="20">
        <f t="shared" si="0"/>
        <v>2</v>
      </c>
    </row>
    <row r="20" spans="1:8">
      <c r="A20" s="20" t="s">
        <v>46</v>
      </c>
      <c r="B20" s="55" t="s">
        <v>194</v>
      </c>
      <c r="C20" s="20" t="s">
        <v>195</v>
      </c>
      <c r="D20" s="20" t="s">
        <v>193</v>
      </c>
      <c r="E20" s="20">
        <v>1</v>
      </c>
      <c r="F20" s="20">
        <v>0</v>
      </c>
      <c r="G20" s="20">
        <f t="shared" si="0"/>
        <v>1</v>
      </c>
    </row>
    <row r="21" spans="1:8">
      <c r="A21" s="20" t="s">
        <v>46</v>
      </c>
      <c r="B21" s="55" t="s">
        <v>194</v>
      </c>
      <c r="C21" s="20" t="s">
        <v>195</v>
      </c>
      <c r="D21" s="20" t="s">
        <v>88</v>
      </c>
      <c r="E21" s="20">
        <v>0</v>
      </c>
      <c r="F21" s="20">
        <v>0</v>
      </c>
      <c r="G21" s="20">
        <f t="shared" si="0"/>
        <v>0</v>
      </c>
    </row>
    <row r="22" spans="1:8">
      <c r="A22" s="20" t="s">
        <v>46</v>
      </c>
      <c r="B22" s="55" t="s">
        <v>194</v>
      </c>
      <c r="C22" s="20" t="s">
        <v>195</v>
      </c>
      <c r="D22" s="20" t="s">
        <v>63</v>
      </c>
      <c r="E22" s="20">
        <v>3</v>
      </c>
      <c r="F22" s="20">
        <v>0</v>
      </c>
      <c r="G22" s="20">
        <f t="shared" si="0"/>
        <v>3</v>
      </c>
    </row>
    <row r="23" spans="1:8">
      <c r="A23" s="20" t="s">
        <v>46</v>
      </c>
      <c r="B23" s="55" t="s">
        <v>194</v>
      </c>
      <c r="C23" s="20" t="s">
        <v>195</v>
      </c>
      <c r="D23" s="20" t="s">
        <v>103</v>
      </c>
      <c r="E23" s="20">
        <v>2</v>
      </c>
      <c r="F23" s="20">
        <v>0</v>
      </c>
      <c r="G23" s="20">
        <f t="shared" si="0"/>
        <v>2</v>
      </c>
    </row>
    <row r="24" spans="1:8">
      <c r="A24" s="13" t="s">
        <v>46</v>
      </c>
      <c r="B24" s="56" t="s">
        <v>194</v>
      </c>
      <c r="C24" s="13" t="s">
        <v>195</v>
      </c>
      <c r="D24" s="13" t="s">
        <v>61</v>
      </c>
      <c r="E24" s="13">
        <v>5</v>
      </c>
      <c r="F24" s="13">
        <v>0</v>
      </c>
      <c r="G24" s="13">
        <f t="shared" si="0"/>
        <v>5</v>
      </c>
      <c r="H24" s="16">
        <f>SUM(G12:G24)</f>
        <v>33</v>
      </c>
    </row>
    <row r="25" spans="1:8">
      <c r="A25" s="20" t="s">
        <v>46</v>
      </c>
      <c r="B25" s="20" t="s">
        <v>196</v>
      </c>
      <c r="C25" s="20" t="s">
        <v>197</v>
      </c>
      <c r="D25" s="20" t="s">
        <v>61</v>
      </c>
      <c r="E25" s="20">
        <v>0</v>
      </c>
      <c r="F25" s="20">
        <v>2</v>
      </c>
      <c r="G25" s="20">
        <f t="shared" si="0"/>
        <v>2</v>
      </c>
    </row>
    <row r="26" spans="1:8">
      <c r="A26" s="20" t="s">
        <v>46</v>
      </c>
      <c r="B26" s="20" t="s">
        <v>196</v>
      </c>
      <c r="C26" s="20" t="s">
        <v>197</v>
      </c>
      <c r="D26" s="20" t="s">
        <v>80</v>
      </c>
      <c r="E26" s="20">
        <v>0</v>
      </c>
      <c r="F26" s="20">
        <v>1</v>
      </c>
      <c r="G26" s="20">
        <f t="shared" si="0"/>
        <v>1</v>
      </c>
    </row>
    <row r="27" spans="1:8">
      <c r="A27" s="20" t="s">
        <v>46</v>
      </c>
      <c r="B27" s="20" t="s">
        <v>196</v>
      </c>
      <c r="C27" s="20" t="s">
        <v>197</v>
      </c>
      <c r="D27" s="20" t="s">
        <v>62</v>
      </c>
      <c r="E27" s="20">
        <v>0</v>
      </c>
      <c r="F27" s="20">
        <v>2</v>
      </c>
      <c r="G27" s="20">
        <f t="shared" si="0"/>
        <v>2</v>
      </c>
    </row>
    <row r="28" spans="1:8">
      <c r="A28" s="20" t="s">
        <v>46</v>
      </c>
      <c r="B28" s="20" t="s">
        <v>196</v>
      </c>
      <c r="C28" s="20" t="s">
        <v>197</v>
      </c>
      <c r="D28" s="20" t="s">
        <v>72</v>
      </c>
      <c r="E28" s="20">
        <v>0</v>
      </c>
      <c r="F28" s="20">
        <v>1</v>
      </c>
      <c r="G28" s="20">
        <f t="shared" si="0"/>
        <v>1</v>
      </c>
    </row>
    <row r="29" spans="1:8">
      <c r="A29" s="20" t="s">
        <v>46</v>
      </c>
      <c r="B29" s="20" t="s">
        <v>196</v>
      </c>
      <c r="C29" s="20" t="s">
        <v>197</v>
      </c>
      <c r="D29" s="20" t="s">
        <v>69</v>
      </c>
      <c r="E29" s="20">
        <v>0</v>
      </c>
      <c r="F29" s="20">
        <v>0</v>
      </c>
      <c r="G29" s="20">
        <f t="shared" si="0"/>
        <v>0</v>
      </c>
    </row>
    <row r="30" spans="1:8">
      <c r="A30" s="13" t="s">
        <v>46</v>
      </c>
      <c r="B30" s="13" t="s">
        <v>196</v>
      </c>
      <c r="C30" s="13" t="s">
        <v>197</v>
      </c>
      <c r="D30" s="13" t="s">
        <v>101</v>
      </c>
      <c r="E30" s="13">
        <v>0</v>
      </c>
      <c r="F30" s="13">
        <v>1</v>
      </c>
      <c r="G30" s="13">
        <f t="shared" si="0"/>
        <v>1</v>
      </c>
      <c r="H30" s="16">
        <f>SUM(G25:G30)</f>
        <v>7</v>
      </c>
    </row>
    <row r="31" spans="1:8">
      <c r="A31" s="20" t="s">
        <v>46</v>
      </c>
      <c r="B31" s="55" t="s">
        <v>198</v>
      </c>
      <c r="C31" s="20" t="s">
        <v>112</v>
      </c>
      <c r="D31" s="20" t="s">
        <v>61</v>
      </c>
      <c r="E31" s="20">
        <v>0</v>
      </c>
      <c r="F31" s="20">
        <v>1</v>
      </c>
      <c r="G31" s="20">
        <f t="shared" si="0"/>
        <v>1</v>
      </c>
    </row>
    <row r="32" spans="1:8">
      <c r="A32" s="20" t="s">
        <v>46</v>
      </c>
      <c r="B32" s="55" t="s">
        <v>198</v>
      </c>
      <c r="C32" s="20" t="s">
        <v>112</v>
      </c>
      <c r="D32" s="20" t="s">
        <v>100</v>
      </c>
      <c r="E32" s="20">
        <v>0</v>
      </c>
      <c r="F32" s="20">
        <v>2</v>
      </c>
      <c r="G32" s="20">
        <f t="shared" si="0"/>
        <v>2</v>
      </c>
    </row>
    <row r="33" spans="1:8">
      <c r="A33" s="20" t="s">
        <v>46</v>
      </c>
      <c r="B33" s="55" t="s">
        <v>198</v>
      </c>
      <c r="C33" s="20" t="s">
        <v>112</v>
      </c>
      <c r="D33" s="20" t="s">
        <v>103</v>
      </c>
      <c r="E33" s="20">
        <v>0</v>
      </c>
      <c r="F33" s="20">
        <v>2</v>
      </c>
      <c r="G33" s="20">
        <f t="shared" si="0"/>
        <v>2</v>
      </c>
    </row>
    <row r="34" spans="1:8">
      <c r="A34" s="20" t="s">
        <v>46</v>
      </c>
      <c r="B34" s="55" t="s">
        <v>198</v>
      </c>
      <c r="C34" s="20" t="s">
        <v>112</v>
      </c>
      <c r="D34" s="20" t="s">
        <v>62</v>
      </c>
      <c r="E34" s="20">
        <v>0</v>
      </c>
      <c r="F34" s="20">
        <v>2</v>
      </c>
      <c r="G34" s="20">
        <f t="shared" si="0"/>
        <v>2</v>
      </c>
    </row>
    <row r="35" spans="1:8">
      <c r="A35" s="20" t="s">
        <v>46</v>
      </c>
      <c r="B35" s="55" t="s">
        <v>198</v>
      </c>
      <c r="C35" s="20" t="s">
        <v>112</v>
      </c>
      <c r="D35" s="20" t="s">
        <v>68</v>
      </c>
      <c r="E35" s="20">
        <v>0</v>
      </c>
      <c r="F35" s="20">
        <v>1</v>
      </c>
      <c r="G35" s="20">
        <f t="shared" si="0"/>
        <v>1</v>
      </c>
    </row>
    <row r="36" spans="1:8">
      <c r="A36" s="20" t="s">
        <v>46</v>
      </c>
      <c r="B36" s="55" t="s">
        <v>198</v>
      </c>
      <c r="C36" s="20" t="s">
        <v>112</v>
      </c>
      <c r="D36" s="20" t="s">
        <v>78</v>
      </c>
      <c r="E36" s="20">
        <v>0</v>
      </c>
      <c r="F36" s="20">
        <v>3</v>
      </c>
      <c r="G36" s="20">
        <f t="shared" si="0"/>
        <v>3</v>
      </c>
    </row>
    <row r="37" spans="1:8">
      <c r="A37" s="20" t="s">
        <v>46</v>
      </c>
      <c r="B37" s="55" t="s">
        <v>198</v>
      </c>
      <c r="C37" s="20" t="s">
        <v>112</v>
      </c>
      <c r="D37" s="20" t="s">
        <v>63</v>
      </c>
      <c r="E37" s="20">
        <v>0</v>
      </c>
      <c r="F37" s="20">
        <v>1</v>
      </c>
      <c r="G37" s="20">
        <f t="shared" si="0"/>
        <v>1</v>
      </c>
    </row>
    <row r="38" spans="1:8">
      <c r="A38" s="20" t="s">
        <v>46</v>
      </c>
      <c r="B38" s="55" t="s">
        <v>198</v>
      </c>
      <c r="C38" s="20" t="s">
        <v>112</v>
      </c>
      <c r="D38" s="20" t="s">
        <v>69</v>
      </c>
      <c r="E38" s="20">
        <v>0</v>
      </c>
      <c r="F38" s="20">
        <v>1</v>
      </c>
      <c r="G38" s="20">
        <f t="shared" si="0"/>
        <v>1</v>
      </c>
    </row>
    <row r="39" spans="1:8">
      <c r="A39" s="20" t="s">
        <v>46</v>
      </c>
      <c r="B39" s="55" t="s">
        <v>198</v>
      </c>
      <c r="C39" s="20" t="s">
        <v>112</v>
      </c>
      <c r="D39" s="20" t="s">
        <v>80</v>
      </c>
      <c r="E39" s="20">
        <v>0</v>
      </c>
      <c r="F39" s="20">
        <v>2</v>
      </c>
      <c r="G39" s="20">
        <f t="shared" si="0"/>
        <v>2</v>
      </c>
    </row>
    <row r="40" spans="1:8">
      <c r="A40" s="13" t="s">
        <v>46</v>
      </c>
      <c r="B40" s="56" t="s">
        <v>198</v>
      </c>
      <c r="C40" s="13" t="s">
        <v>112</v>
      </c>
      <c r="D40" s="13" t="s">
        <v>105</v>
      </c>
      <c r="E40" s="13">
        <v>0</v>
      </c>
      <c r="F40" s="13">
        <v>2</v>
      </c>
      <c r="G40" s="13">
        <f t="shared" si="0"/>
        <v>2</v>
      </c>
      <c r="H40" s="16">
        <f>SUM(G31:G40)</f>
        <v>17</v>
      </c>
    </row>
    <row r="41" spans="1:8">
      <c r="A41" s="20"/>
      <c r="B41" s="20"/>
      <c r="C41" s="20"/>
      <c r="D41" s="20"/>
      <c r="E41" s="20">
        <v>0</v>
      </c>
      <c r="F41" s="20">
        <v>0</v>
      </c>
      <c r="G41" s="20">
        <f t="shared" si="0"/>
        <v>0</v>
      </c>
    </row>
    <row r="42" spans="1:8">
      <c r="A42" s="20"/>
      <c r="B42" s="20"/>
      <c r="C42" s="20"/>
      <c r="D42" s="20"/>
      <c r="E42" s="20">
        <f>SUM(E2:E41)</f>
        <v>33</v>
      </c>
      <c r="F42" s="20">
        <f>SUM(F2:F41)</f>
        <v>42</v>
      </c>
      <c r="G42" s="20">
        <f t="shared" si="0"/>
        <v>75</v>
      </c>
    </row>
  </sheetData>
  <pageMargins left="0.75" right="0.75" top="1" bottom="1" header="0.5" footer="0.5"/>
  <headerFooter/>
  <ignoredErrors>
    <ignoredError sqref="B31:B40 B2:B12 B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D3" workbookViewId="0">
      <selection activeCell="E25" sqref="E25"/>
    </sheetView>
  </sheetViews>
  <sheetFormatPr defaultColWidth="9.14285714285714" defaultRowHeight="15"/>
  <cols>
    <col min="1" max="1" width="14.1428571428571" style="1" customWidth="1"/>
    <col min="2" max="2" width="19.5714285714286" style="1" customWidth="1"/>
    <col min="3" max="3" width="30.2857142857143" style="1" customWidth="1"/>
    <col min="4" max="4" width="19.4285714285714" style="1" customWidth="1"/>
    <col min="5" max="5" width="11.2857142857143" style="1" customWidth="1"/>
    <col min="6" max="8" width="11" style="1"/>
    <col min="9" max="9" width="12.7142857142857" style="1" customWidth="1"/>
    <col min="10" max="10" width="13.7142857142857" style="1" customWidth="1"/>
    <col min="11" max="13" width="11" style="1"/>
    <col min="14" max="14" width="13.4285714285714" style="1" customWidth="1"/>
    <col min="15" max="16" width="11" style="1"/>
    <col min="17" max="16384" width="9.14285714285714" style="1"/>
  </cols>
  <sheetData>
    <row r="1" s="1" customFormat="1" spans="1:16">
      <c r="A1" s="1" t="s">
        <v>0</v>
      </c>
      <c r="B1" s="2" t="s">
        <v>1</v>
      </c>
      <c r="C1" s="2" t="s">
        <v>2</v>
      </c>
      <c r="D1" s="3" t="s">
        <v>60</v>
      </c>
      <c r="E1" s="3">
        <v>30</v>
      </c>
      <c r="F1" s="2">
        <v>32</v>
      </c>
      <c r="G1" s="2">
        <v>34</v>
      </c>
      <c r="H1" s="4">
        <v>36</v>
      </c>
      <c r="I1" s="4">
        <v>38</v>
      </c>
      <c r="J1" s="4">
        <v>40</v>
      </c>
      <c r="K1" s="4">
        <v>42</v>
      </c>
      <c r="L1" s="2">
        <v>44</v>
      </c>
      <c r="M1" s="2">
        <v>46</v>
      </c>
      <c r="N1" s="2">
        <v>48</v>
      </c>
      <c r="O1" s="4" t="s">
        <v>3</v>
      </c>
      <c r="P1" s="5"/>
    </row>
    <row r="2" s="1" customFormat="1" spans="1:16">
      <c r="A2" s="6" t="s">
        <v>37</v>
      </c>
      <c r="B2" s="2" t="s">
        <v>38</v>
      </c>
      <c r="C2" s="2" t="s">
        <v>39</v>
      </c>
      <c r="D2" s="3" t="s">
        <v>199</v>
      </c>
      <c r="E2" s="3">
        <v>0</v>
      </c>
      <c r="F2" s="2">
        <v>0</v>
      </c>
      <c r="G2" s="2">
        <v>2</v>
      </c>
      <c r="H2" s="4">
        <v>5</v>
      </c>
      <c r="I2" s="4">
        <v>5</v>
      </c>
      <c r="J2" s="4">
        <v>0</v>
      </c>
      <c r="K2" s="2">
        <v>0</v>
      </c>
      <c r="L2" s="2">
        <v>0</v>
      </c>
      <c r="M2" s="2">
        <v>0</v>
      </c>
      <c r="N2" s="2">
        <v>0</v>
      </c>
      <c r="O2" s="7">
        <f t="shared" ref="O2:O23" si="0">SUM(E2:N2)</f>
        <v>12</v>
      </c>
      <c r="P2" s="22">
        <f>O2</f>
        <v>12</v>
      </c>
    </row>
    <row r="3" s="1" customFormat="1" spans="1:16">
      <c r="A3" s="6" t="s">
        <v>40</v>
      </c>
      <c r="B3" s="2" t="s">
        <v>41</v>
      </c>
      <c r="C3" s="2" t="s">
        <v>42</v>
      </c>
      <c r="D3" s="3" t="s">
        <v>61</v>
      </c>
      <c r="E3" s="3">
        <v>6</v>
      </c>
      <c r="F3" s="2">
        <v>3</v>
      </c>
      <c r="G3" s="2">
        <v>4</v>
      </c>
      <c r="H3" s="4">
        <v>4</v>
      </c>
      <c r="I3" s="4">
        <v>2</v>
      </c>
      <c r="J3" s="4">
        <v>5</v>
      </c>
      <c r="K3" s="2">
        <v>5</v>
      </c>
      <c r="L3" s="2">
        <v>0</v>
      </c>
      <c r="M3" s="2">
        <v>0</v>
      </c>
      <c r="N3" s="2">
        <v>0</v>
      </c>
      <c r="O3" s="7">
        <f t="shared" si="0"/>
        <v>29</v>
      </c>
    </row>
    <row r="4" s="1" customFormat="1" spans="1:16">
      <c r="A4" s="6" t="s">
        <v>40</v>
      </c>
      <c r="B4" s="2" t="s">
        <v>41</v>
      </c>
      <c r="C4" s="2" t="s">
        <v>42</v>
      </c>
      <c r="D4" s="3" t="s">
        <v>200</v>
      </c>
      <c r="E4" s="3">
        <v>4</v>
      </c>
      <c r="F4" s="2">
        <v>7</v>
      </c>
      <c r="G4" s="2">
        <v>10</v>
      </c>
      <c r="H4" s="4">
        <v>2</v>
      </c>
      <c r="I4" s="4">
        <v>0</v>
      </c>
      <c r="J4" s="4">
        <v>1</v>
      </c>
      <c r="K4" s="2">
        <v>1</v>
      </c>
      <c r="L4" s="2">
        <v>0</v>
      </c>
      <c r="M4" s="2">
        <v>0</v>
      </c>
      <c r="N4" s="2">
        <v>0</v>
      </c>
      <c r="O4" s="7">
        <f t="shared" si="0"/>
        <v>25</v>
      </c>
    </row>
    <row r="5" s="1" customFormat="1" spans="1:16">
      <c r="A5" s="6" t="s">
        <v>40</v>
      </c>
      <c r="B5" s="2" t="s">
        <v>41</v>
      </c>
      <c r="C5" s="2" t="s">
        <v>42</v>
      </c>
      <c r="D5" s="3" t="s">
        <v>103</v>
      </c>
      <c r="E5" s="3">
        <v>4</v>
      </c>
      <c r="F5" s="2">
        <v>8</v>
      </c>
      <c r="G5" s="2">
        <v>6</v>
      </c>
      <c r="H5" s="4">
        <v>3</v>
      </c>
      <c r="I5" s="4">
        <v>2</v>
      </c>
      <c r="J5" s="4">
        <v>4</v>
      </c>
      <c r="K5" s="2">
        <v>0</v>
      </c>
      <c r="L5" s="2">
        <v>0</v>
      </c>
      <c r="M5" s="2">
        <v>0</v>
      </c>
      <c r="N5" s="2">
        <v>0</v>
      </c>
      <c r="O5" s="7">
        <f t="shared" si="0"/>
        <v>27</v>
      </c>
    </row>
    <row r="6" s="1" customFormat="1" spans="1:16">
      <c r="A6" s="6" t="s">
        <v>40</v>
      </c>
      <c r="B6" s="2" t="s">
        <v>41</v>
      </c>
      <c r="C6" s="2" t="s">
        <v>42</v>
      </c>
      <c r="D6" s="3" t="s">
        <v>62</v>
      </c>
      <c r="E6" s="3">
        <v>5</v>
      </c>
      <c r="F6" s="2">
        <v>7</v>
      </c>
      <c r="G6" s="2">
        <v>3</v>
      </c>
      <c r="H6" s="4">
        <v>2</v>
      </c>
      <c r="I6" s="4">
        <v>2</v>
      </c>
      <c r="J6" s="4">
        <v>0</v>
      </c>
      <c r="K6" s="2">
        <v>3</v>
      </c>
      <c r="L6" s="2">
        <v>0</v>
      </c>
      <c r="M6" s="2">
        <v>0</v>
      </c>
      <c r="N6" s="2">
        <v>0</v>
      </c>
      <c r="O6" s="7">
        <f t="shared" si="0"/>
        <v>22</v>
      </c>
    </row>
    <row r="7" s="1" customFormat="1" spans="1:16">
      <c r="A7" s="6" t="s">
        <v>40</v>
      </c>
      <c r="B7" s="2" t="s">
        <v>41</v>
      </c>
      <c r="C7" s="2" t="s">
        <v>42</v>
      </c>
      <c r="D7" s="3" t="s">
        <v>188</v>
      </c>
      <c r="E7" s="3">
        <v>0</v>
      </c>
      <c r="F7" s="2">
        <v>2</v>
      </c>
      <c r="G7" s="2">
        <v>2</v>
      </c>
      <c r="H7" s="4">
        <v>0</v>
      </c>
      <c r="I7" s="4">
        <v>0</v>
      </c>
      <c r="J7" s="4">
        <v>0</v>
      </c>
      <c r="K7" s="2">
        <v>0</v>
      </c>
      <c r="L7" s="2">
        <v>0</v>
      </c>
      <c r="M7" s="2">
        <v>0</v>
      </c>
      <c r="N7" s="2">
        <v>0</v>
      </c>
      <c r="O7" s="7">
        <f t="shared" si="0"/>
        <v>4</v>
      </c>
    </row>
    <row r="8" s="1" customFormat="1" spans="1:16">
      <c r="A8" s="6" t="s">
        <v>40</v>
      </c>
      <c r="B8" s="2" t="s">
        <v>41</v>
      </c>
      <c r="C8" s="2" t="s">
        <v>42</v>
      </c>
      <c r="D8" s="3" t="s">
        <v>201</v>
      </c>
      <c r="E8" s="3">
        <v>0</v>
      </c>
      <c r="F8" s="2">
        <v>4</v>
      </c>
      <c r="G8" s="2">
        <v>1</v>
      </c>
      <c r="H8" s="4">
        <v>0</v>
      </c>
      <c r="I8" s="4">
        <v>0</v>
      </c>
      <c r="J8" s="4">
        <v>0</v>
      </c>
      <c r="K8" s="2">
        <v>0</v>
      </c>
      <c r="L8" s="2">
        <v>0</v>
      </c>
      <c r="M8" s="2">
        <v>0</v>
      </c>
      <c r="N8" s="2">
        <v>0</v>
      </c>
      <c r="O8" s="7">
        <f t="shared" si="0"/>
        <v>5</v>
      </c>
    </row>
    <row r="9" s="1" customFormat="1" spans="1:16">
      <c r="A9" s="6" t="s">
        <v>40</v>
      </c>
      <c r="B9" s="2" t="s">
        <v>41</v>
      </c>
      <c r="C9" s="2" t="s">
        <v>42</v>
      </c>
      <c r="D9" s="3" t="s">
        <v>101</v>
      </c>
      <c r="E9" s="3">
        <v>0</v>
      </c>
      <c r="F9" s="2">
        <v>4</v>
      </c>
      <c r="G9" s="2">
        <v>5</v>
      </c>
      <c r="H9" s="4">
        <v>6</v>
      </c>
      <c r="I9" s="4">
        <v>4</v>
      </c>
      <c r="J9" s="4">
        <v>0</v>
      </c>
      <c r="K9" s="2">
        <v>2</v>
      </c>
      <c r="L9" s="2">
        <v>0</v>
      </c>
      <c r="M9" s="2">
        <v>0</v>
      </c>
      <c r="N9" s="2">
        <v>0</v>
      </c>
      <c r="O9" s="7">
        <f t="shared" si="0"/>
        <v>21</v>
      </c>
    </row>
    <row r="10" s="1" customFormat="1" spans="1:16">
      <c r="A10" s="6" t="s">
        <v>40</v>
      </c>
      <c r="B10" s="2" t="s">
        <v>41</v>
      </c>
      <c r="C10" s="2" t="s">
        <v>42</v>
      </c>
      <c r="D10" s="3" t="s">
        <v>89</v>
      </c>
      <c r="E10" s="3">
        <v>0</v>
      </c>
      <c r="F10" s="2">
        <v>5</v>
      </c>
      <c r="G10" s="2">
        <v>5</v>
      </c>
      <c r="H10" s="4">
        <v>1</v>
      </c>
      <c r="I10" s="4">
        <v>2</v>
      </c>
      <c r="J10" s="4">
        <v>0</v>
      </c>
      <c r="K10" s="2">
        <v>0</v>
      </c>
      <c r="L10" s="2">
        <v>0</v>
      </c>
      <c r="M10" s="2">
        <v>0</v>
      </c>
      <c r="N10" s="2">
        <v>0</v>
      </c>
      <c r="O10" s="7">
        <f t="shared" si="0"/>
        <v>13</v>
      </c>
    </row>
    <row r="11" s="1" customFormat="1" spans="1:16">
      <c r="A11" s="6" t="s">
        <v>40</v>
      </c>
      <c r="B11" s="2" t="s">
        <v>41</v>
      </c>
      <c r="C11" s="2" t="s">
        <v>42</v>
      </c>
      <c r="D11" s="3" t="s">
        <v>202</v>
      </c>
      <c r="E11" s="3">
        <v>0</v>
      </c>
      <c r="F11" s="2">
        <v>1</v>
      </c>
      <c r="G11" s="2">
        <v>0</v>
      </c>
      <c r="H11" s="4">
        <v>0</v>
      </c>
      <c r="I11" s="4">
        <v>0</v>
      </c>
      <c r="J11" s="4">
        <v>0</v>
      </c>
      <c r="K11" s="2">
        <v>0</v>
      </c>
      <c r="L11" s="2">
        <v>0</v>
      </c>
      <c r="M11" s="2">
        <v>0</v>
      </c>
      <c r="N11" s="2">
        <v>0</v>
      </c>
      <c r="O11" s="7">
        <f t="shared" si="0"/>
        <v>1</v>
      </c>
    </row>
    <row r="12" s="1" customFormat="1" spans="1:16">
      <c r="A12" s="6" t="s">
        <v>40</v>
      </c>
      <c r="B12" s="2" t="s">
        <v>41</v>
      </c>
      <c r="C12" s="2" t="s">
        <v>42</v>
      </c>
      <c r="D12" s="3" t="s">
        <v>203</v>
      </c>
      <c r="E12" s="3">
        <v>1</v>
      </c>
      <c r="F12" s="2">
        <v>3</v>
      </c>
      <c r="G12" s="2">
        <v>1</v>
      </c>
      <c r="H12" s="4">
        <v>0</v>
      </c>
      <c r="I12" s="4">
        <v>0</v>
      </c>
      <c r="J12" s="4">
        <v>0</v>
      </c>
      <c r="K12" s="2">
        <v>0</v>
      </c>
      <c r="L12" s="2">
        <v>0</v>
      </c>
      <c r="M12" s="2">
        <v>0</v>
      </c>
      <c r="N12" s="2">
        <v>0</v>
      </c>
      <c r="O12" s="7">
        <f t="shared" si="0"/>
        <v>5</v>
      </c>
    </row>
    <row r="13" s="1" customFormat="1" spans="1:16">
      <c r="A13" s="6" t="s">
        <v>40</v>
      </c>
      <c r="B13" s="2" t="s">
        <v>41</v>
      </c>
      <c r="C13" s="2" t="s">
        <v>42</v>
      </c>
      <c r="D13" s="3" t="s">
        <v>187</v>
      </c>
      <c r="E13" s="3">
        <v>2</v>
      </c>
      <c r="F13" s="2">
        <v>4</v>
      </c>
      <c r="G13" s="2">
        <v>3</v>
      </c>
      <c r="H13" s="4">
        <v>0</v>
      </c>
      <c r="I13" s="4">
        <v>3</v>
      </c>
      <c r="J13" s="4">
        <v>0</v>
      </c>
      <c r="K13" s="2">
        <v>0</v>
      </c>
      <c r="L13" s="2">
        <v>0</v>
      </c>
      <c r="M13" s="2">
        <v>0</v>
      </c>
      <c r="N13" s="2">
        <v>0</v>
      </c>
      <c r="O13" s="7">
        <f t="shared" si="0"/>
        <v>12</v>
      </c>
    </row>
    <row r="14" s="1" customFormat="1" spans="1:16">
      <c r="A14" s="6" t="s">
        <v>40</v>
      </c>
      <c r="B14" s="2" t="s">
        <v>41</v>
      </c>
      <c r="C14" s="2" t="s">
        <v>42</v>
      </c>
      <c r="D14" s="3" t="s">
        <v>70</v>
      </c>
      <c r="E14" s="3">
        <v>1</v>
      </c>
      <c r="F14" s="2">
        <v>5</v>
      </c>
      <c r="G14" s="2">
        <v>1</v>
      </c>
      <c r="H14" s="4">
        <v>0</v>
      </c>
      <c r="I14" s="4">
        <v>2</v>
      </c>
      <c r="J14" s="4">
        <v>0</v>
      </c>
      <c r="K14" s="2">
        <v>0</v>
      </c>
      <c r="L14" s="2">
        <v>0</v>
      </c>
      <c r="M14" s="2">
        <v>0</v>
      </c>
      <c r="N14" s="2">
        <v>0</v>
      </c>
      <c r="O14" s="7">
        <f t="shared" si="0"/>
        <v>9</v>
      </c>
    </row>
    <row r="15" s="1" customFormat="1" spans="1:16">
      <c r="A15" s="6" t="s">
        <v>40</v>
      </c>
      <c r="B15" s="2" t="s">
        <v>41</v>
      </c>
      <c r="C15" s="2" t="s">
        <v>42</v>
      </c>
      <c r="D15" s="3" t="s">
        <v>87</v>
      </c>
      <c r="E15" s="3">
        <v>1</v>
      </c>
      <c r="F15" s="2">
        <v>2</v>
      </c>
      <c r="G15" s="2">
        <v>2</v>
      </c>
      <c r="H15" s="4">
        <v>4</v>
      </c>
      <c r="I15" s="4">
        <v>1</v>
      </c>
      <c r="J15" s="4">
        <v>0</v>
      </c>
      <c r="K15" s="2">
        <v>1</v>
      </c>
      <c r="L15" s="2">
        <v>0</v>
      </c>
      <c r="M15" s="2">
        <v>0</v>
      </c>
      <c r="N15" s="2">
        <v>0</v>
      </c>
      <c r="O15" s="7">
        <f t="shared" si="0"/>
        <v>11</v>
      </c>
    </row>
    <row r="16" s="1" customFormat="1" spans="1:16">
      <c r="A16" s="6" t="s">
        <v>40</v>
      </c>
      <c r="B16" s="2" t="s">
        <v>41</v>
      </c>
      <c r="C16" s="2" t="s">
        <v>42</v>
      </c>
      <c r="D16" s="3" t="s">
        <v>90</v>
      </c>
      <c r="E16" s="3">
        <v>0</v>
      </c>
      <c r="F16" s="2">
        <v>3</v>
      </c>
      <c r="G16" s="2">
        <v>0</v>
      </c>
      <c r="H16" s="4">
        <v>0</v>
      </c>
      <c r="I16" s="4">
        <v>0</v>
      </c>
      <c r="J16" s="4">
        <v>0</v>
      </c>
      <c r="K16" s="2">
        <v>0</v>
      </c>
      <c r="L16" s="2">
        <v>0</v>
      </c>
      <c r="M16" s="2">
        <v>0</v>
      </c>
      <c r="N16" s="2">
        <v>0</v>
      </c>
      <c r="O16" s="7">
        <f t="shared" si="0"/>
        <v>3</v>
      </c>
    </row>
    <row r="17" s="1" customFormat="1" spans="1:16">
      <c r="A17" s="6" t="s">
        <v>40</v>
      </c>
      <c r="B17" s="2" t="s">
        <v>41</v>
      </c>
      <c r="C17" s="2" t="s">
        <v>42</v>
      </c>
      <c r="D17" s="3" t="s">
        <v>71</v>
      </c>
      <c r="E17" s="3">
        <v>0</v>
      </c>
      <c r="F17" s="2">
        <v>3</v>
      </c>
      <c r="G17" s="2">
        <v>3</v>
      </c>
      <c r="H17" s="4">
        <v>0</v>
      </c>
      <c r="I17" s="4">
        <v>3</v>
      </c>
      <c r="J17" s="4">
        <v>0</v>
      </c>
      <c r="K17" s="2">
        <v>0</v>
      </c>
      <c r="L17" s="2">
        <v>0</v>
      </c>
      <c r="M17" s="2">
        <v>0</v>
      </c>
      <c r="N17" s="2">
        <v>0</v>
      </c>
      <c r="O17" s="7">
        <f t="shared" si="0"/>
        <v>9</v>
      </c>
    </row>
    <row r="18" s="1" customFormat="1" spans="1:16">
      <c r="A18" s="6" t="s">
        <v>40</v>
      </c>
      <c r="B18" s="2" t="s">
        <v>41</v>
      </c>
      <c r="C18" s="2" t="s">
        <v>42</v>
      </c>
      <c r="D18" s="3" t="s">
        <v>63</v>
      </c>
      <c r="E18" s="3">
        <v>2</v>
      </c>
      <c r="F18" s="2">
        <v>6</v>
      </c>
      <c r="G18" s="2">
        <v>1</v>
      </c>
      <c r="H18" s="4">
        <v>1</v>
      </c>
      <c r="I18" s="4">
        <v>0</v>
      </c>
      <c r="J18" s="4">
        <v>2</v>
      </c>
      <c r="K18" s="2">
        <v>2</v>
      </c>
      <c r="L18" s="2">
        <v>0</v>
      </c>
      <c r="M18" s="2">
        <v>0</v>
      </c>
      <c r="N18" s="2">
        <v>0</v>
      </c>
      <c r="O18" s="7">
        <f t="shared" si="0"/>
        <v>14</v>
      </c>
    </row>
    <row r="19" s="1" customFormat="1" spans="1:16">
      <c r="A19" s="6" t="s">
        <v>40</v>
      </c>
      <c r="B19" s="2" t="s">
        <v>41</v>
      </c>
      <c r="C19" s="2" t="s">
        <v>42</v>
      </c>
      <c r="D19" s="3" t="s">
        <v>163</v>
      </c>
      <c r="E19" s="3">
        <v>0</v>
      </c>
      <c r="F19" s="2">
        <v>2</v>
      </c>
      <c r="G19" s="2">
        <v>1</v>
      </c>
      <c r="H19" s="4">
        <v>0</v>
      </c>
      <c r="I19" s="4">
        <v>2</v>
      </c>
      <c r="J19" s="4">
        <v>0</v>
      </c>
      <c r="K19" s="2">
        <v>0</v>
      </c>
      <c r="L19" s="2">
        <v>0</v>
      </c>
      <c r="M19" s="2">
        <v>0</v>
      </c>
      <c r="N19" s="2">
        <v>0</v>
      </c>
      <c r="O19" s="7">
        <f t="shared" si="0"/>
        <v>5</v>
      </c>
    </row>
    <row r="20" s="1" customFormat="1" spans="1:16">
      <c r="A20" s="6" t="s">
        <v>40</v>
      </c>
      <c r="B20" s="2" t="s">
        <v>41</v>
      </c>
      <c r="C20" s="2" t="s">
        <v>42</v>
      </c>
      <c r="D20" s="3" t="s">
        <v>129</v>
      </c>
      <c r="E20" s="3">
        <v>0</v>
      </c>
      <c r="F20" s="2">
        <v>2</v>
      </c>
      <c r="G20" s="2">
        <v>1</v>
      </c>
      <c r="H20" s="4">
        <v>1</v>
      </c>
      <c r="I20" s="4">
        <v>0</v>
      </c>
      <c r="J20" s="4">
        <v>0</v>
      </c>
      <c r="K20" s="2">
        <v>0</v>
      </c>
      <c r="L20" s="2">
        <v>0</v>
      </c>
      <c r="M20" s="2">
        <v>0</v>
      </c>
      <c r="N20" s="2">
        <v>0</v>
      </c>
      <c r="O20" s="7">
        <f t="shared" si="0"/>
        <v>4</v>
      </c>
    </row>
    <row r="21" s="1" customFormat="1" spans="1:16">
      <c r="A21" s="6" t="s">
        <v>40</v>
      </c>
      <c r="B21" s="2" t="s">
        <v>41</v>
      </c>
      <c r="C21" s="2" t="s">
        <v>42</v>
      </c>
      <c r="D21" s="3" t="s">
        <v>69</v>
      </c>
      <c r="E21" s="3">
        <v>1</v>
      </c>
      <c r="F21" s="2">
        <v>2</v>
      </c>
      <c r="G21" s="2">
        <v>3</v>
      </c>
      <c r="H21" s="4">
        <v>1</v>
      </c>
      <c r="I21" s="4">
        <v>1</v>
      </c>
      <c r="J21" s="4">
        <v>0</v>
      </c>
      <c r="K21" s="2">
        <v>0</v>
      </c>
      <c r="L21" s="2">
        <v>0</v>
      </c>
      <c r="M21" s="2">
        <v>0</v>
      </c>
      <c r="N21" s="2">
        <v>0</v>
      </c>
      <c r="O21" s="7">
        <f t="shared" si="0"/>
        <v>8</v>
      </c>
    </row>
    <row r="22" s="1" customFormat="1" spans="1:16">
      <c r="A22" s="6" t="s">
        <v>40</v>
      </c>
      <c r="B22" s="2" t="s">
        <v>41</v>
      </c>
      <c r="C22" s="2" t="s">
        <v>42</v>
      </c>
      <c r="D22" s="3" t="s">
        <v>78</v>
      </c>
      <c r="E22" s="3">
        <v>1</v>
      </c>
      <c r="F22" s="2">
        <v>0</v>
      </c>
      <c r="G22" s="2">
        <v>3</v>
      </c>
      <c r="H22" s="4">
        <v>3</v>
      </c>
      <c r="I22" s="4">
        <v>4</v>
      </c>
      <c r="J22" s="4">
        <v>0</v>
      </c>
      <c r="K22" s="2">
        <v>2</v>
      </c>
      <c r="L22" s="2">
        <v>0</v>
      </c>
      <c r="M22" s="2">
        <v>0</v>
      </c>
      <c r="N22" s="2">
        <v>0</v>
      </c>
      <c r="O22" s="7">
        <f t="shared" si="0"/>
        <v>13</v>
      </c>
    </row>
    <row r="23" s="1" customFormat="1" spans="1:16">
      <c r="A23" s="6" t="s">
        <v>40</v>
      </c>
      <c r="B23" s="2" t="s">
        <v>41</v>
      </c>
      <c r="C23" s="2" t="s">
        <v>42</v>
      </c>
      <c r="D23" s="3" t="s">
        <v>80</v>
      </c>
      <c r="E23" s="3">
        <v>0</v>
      </c>
      <c r="F23" s="2">
        <v>1</v>
      </c>
      <c r="G23" s="2">
        <v>4</v>
      </c>
      <c r="H23" s="4">
        <v>3</v>
      </c>
      <c r="I23" s="4">
        <v>3</v>
      </c>
      <c r="J23" s="4">
        <v>4</v>
      </c>
      <c r="K23" s="2">
        <v>4</v>
      </c>
      <c r="L23" s="2">
        <v>0</v>
      </c>
      <c r="M23" s="2">
        <v>0</v>
      </c>
      <c r="N23" s="2">
        <v>0</v>
      </c>
      <c r="O23" s="7">
        <f t="shared" si="0"/>
        <v>19</v>
      </c>
      <c r="P23" s="23">
        <f>SUM(O3:O23)</f>
        <v>259</v>
      </c>
    </row>
    <row r="24" s="1" customFormat="1" spans="1:16">
      <c r="A24" s="6"/>
      <c r="B24" s="2"/>
      <c r="C24" s="2"/>
      <c r="D24" s="3"/>
      <c r="E24" s="3">
        <f t="shared" ref="E24:P24" si="1">SUM(E2:E23)</f>
        <v>28</v>
      </c>
      <c r="F24" s="3">
        <f t="shared" si="1"/>
        <v>74</v>
      </c>
      <c r="G24" s="3">
        <f t="shared" si="1"/>
        <v>61</v>
      </c>
      <c r="H24" s="3">
        <f t="shared" si="1"/>
        <v>36</v>
      </c>
      <c r="I24" s="3">
        <f t="shared" si="1"/>
        <v>36</v>
      </c>
      <c r="J24" s="3">
        <f t="shared" si="1"/>
        <v>16</v>
      </c>
      <c r="K24" s="3">
        <f t="shared" si="1"/>
        <v>20</v>
      </c>
      <c r="L24" s="3">
        <f t="shared" si="1"/>
        <v>0</v>
      </c>
      <c r="M24" s="3">
        <f t="shared" si="1"/>
        <v>0</v>
      </c>
      <c r="N24" s="3">
        <f t="shared" si="1"/>
        <v>0</v>
      </c>
      <c r="O24" s="3">
        <f t="shared" si="1"/>
        <v>271</v>
      </c>
      <c r="P24" s="3">
        <f t="shared" si="1"/>
        <v>271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H1" sqref="H1"/>
    </sheetView>
  </sheetViews>
  <sheetFormatPr defaultColWidth="9.14285714285714" defaultRowHeight="15" outlineLevelCol="7"/>
  <cols>
    <col min="1" max="1" width="14.1428571428571" style="1" customWidth="1"/>
    <col min="2" max="2" width="19.5714285714286" style="1" customWidth="1"/>
    <col min="3" max="3" width="30.2857142857143" style="1" customWidth="1"/>
    <col min="4" max="4" width="19.4285714285714" style="1" customWidth="1"/>
    <col min="5" max="5" width="11.2857142857143" style="1" customWidth="1"/>
    <col min="6" max="6" width="12.4285714285714" style="1" customWidth="1"/>
    <col min="7" max="16384" width="9.14285714285714" style="1"/>
  </cols>
  <sheetData>
    <row r="1" s="1" customFormat="1" spans="1:8">
      <c r="A1" s="15" t="s">
        <v>0</v>
      </c>
      <c r="B1" s="2" t="s">
        <v>1</v>
      </c>
      <c r="C1" s="2" t="s">
        <v>2</v>
      </c>
      <c r="D1" s="2" t="s">
        <v>60</v>
      </c>
      <c r="E1" s="18" t="s">
        <v>97</v>
      </c>
      <c r="F1" s="4" t="s">
        <v>3</v>
      </c>
    </row>
    <row r="2" s="1" customFormat="1" spans="1:8">
      <c r="A2" s="7" t="s">
        <v>43</v>
      </c>
      <c r="B2" s="2" t="s">
        <v>44</v>
      </c>
      <c r="C2" s="2" t="s">
        <v>45</v>
      </c>
      <c r="D2" s="2" t="s">
        <v>78</v>
      </c>
      <c r="E2" s="18">
        <v>3</v>
      </c>
      <c r="F2" s="2">
        <f t="shared" ref="F2:F13" si="0">E2</f>
        <v>3</v>
      </c>
    </row>
    <row r="3" s="1" customFormat="1" spans="1:8">
      <c r="A3" s="7" t="s">
        <v>43</v>
      </c>
      <c r="B3" s="2" t="s">
        <v>44</v>
      </c>
      <c r="C3" s="2" t="s">
        <v>45</v>
      </c>
      <c r="D3" s="2" t="s">
        <v>90</v>
      </c>
      <c r="E3" s="18">
        <v>2</v>
      </c>
      <c r="F3" s="2">
        <f t="shared" si="0"/>
        <v>2</v>
      </c>
    </row>
    <row r="4" s="1" customFormat="1" spans="1:8">
      <c r="A4" s="7" t="s">
        <v>43</v>
      </c>
      <c r="B4" s="2" t="s">
        <v>44</v>
      </c>
      <c r="C4" s="2" t="s">
        <v>45</v>
      </c>
      <c r="D4" s="2" t="s">
        <v>105</v>
      </c>
      <c r="E4" s="18">
        <v>2</v>
      </c>
      <c r="F4" s="2">
        <f t="shared" si="0"/>
        <v>2</v>
      </c>
    </row>
    <row r="5" s="1" customFormat="1" spans="1:8">
      <c r="A5" s="7" t="s">
        <v>43</v>
      </c>
      <c r="B5" s="2" t="s">
        <v>44</v>
      </c>
      <c r="C5" s="2" t="s">
        <v>45</v>
      </c>
      <c r="D5" s="2" t="s">
        <v>63</v>
      </c>
      <c r="E5" s="18">
        <v>3</v>
      </c>
      <c r="F5" s="2">
        <f t="shared" si="0"/>
        <v>3</v>
      </c>
    </row>
    <row r="6" s="1" customFormat="1" spans="1:8">
      <c r="A6" s="7" t="s">
        <v>43</v>
      </c>
      <c r="B6" s="2" t="s">
        <v>44</v>
      </c>
      <c r="C6" s="2" t="s">
        <v>45</v>
      </c>
      <c r="D6" s="2" t="s">
        <v>89</v>
      </c>
      <c r="E6" s="18">
        <v>2</v>
      </c>
      <c r="F6" s="2">
        <f t="shared" si="0"/>
        <v>2</v>
      </c>
    </row>
    <row r="7" s="1" customFormat="1" spans="1:8">
      <c r="A7" s="7" t="s">
        <v>43</v>
      </c>
      <c r="B7" s="2" t="s">
        <v>44</v>
      </c>
      <c r="C7" s="2" t="s">
        <v>45</v>
      </c>
      <c r="D7" s="2" t="s">
        <v>103</v>
      </c>
      <c r="E7" s="18">
        <v>2</v>
      </c>
      <c r="F7" s="2">
        <f t="shared" si="0"/>
        <v>2</v>
      </c>
    </row>
    <row r="8" s="1" customFormat="1" spans="1:8">
      <c r="A8" s="7" t="s">
        <v>43</v>
      </c>
      <c r="B8" s="2" t="s">
        <v>44</v>
      </c>
      <c r="C8" s="2" t="s">
        <v>45</v>
      </c>
      <c r="D8" s="2" t="s">
        <v>123</v>
      </c>
      <c r="E8" s="18">
        <v>3</v>
      </c>
      <c r="F8" s="2">
        <f t="shared" si="0"/>
        <v>3</v>
      </c>
    </row>
    <row r="9" s="1" customFormat="1" spans="1:8">
      <c r="A9" s="7" t="s">
        <v>43</v>
      </c>
      <c r="B9" s="2" t="s">
        <v>44</v>
      </c>
      <c r="C9" s="2" t="s">
        <v>45</v>
      </c>
      <c r="D9" s="2" t="s">
        <v>101</v>
      </c>
      <c r="E9" s="18">
        <v>2</v>
      </c>
      <c r="F9" s="2">
        <f t="shared" si="0"/>
        <v>2</v>
      </c>
    </row>
    <row r="10" s="1" customFormat="1" spans="1:8">
      <c r="A10" s="7" t="s">
        <v>43</v>
      </c>
      <c r="B10" s="2" t="s">
        <v>44</v>
      </c>
      <c r="C10" s="2" t="s">
        <v>45</v>
      </c>
      <c r="D10" s="2" t="s">
        <v>71</v>
      </c>
      <c r="E10" s="18">
        <v>2</v>
      </c>
      <c r="F10" s="2">
        <f t="shared" si="0"/>
        <v>2</v>
      </c>
    </row>
    <row r="11" s="1" customFormat="1" spans="1:8">
      <c r="A11" s="7" t="s">
        <v>43</v>
      </c>
      <c r="B11" s="2" t="s">
        <v>44</v>
      </c>
      <c r="C11" s="2" t="s">
        <v>45</v>
      </c>
      <c r="D11" s="2" t="s">
        <v>110</v>
      </c>
      <c r="E11" s="18">
        <v>3</v>
      </c>
      <c r="F11" s="2">
        <f t="shared" si="0"/>
        <v>3</v>
      </c>
    </row>
    <row r="12" s="1" customFormat="1" spans="1:8">
      <c r="A12" s="7" t="s">
        <v>43</v>
      </c>
      <c r="B12" s="2" t="s">
        <v>44</v>
      </c>
      <c r="C12" s="2" t="s">
        <v>45</v>
      </c>
      <c r="D12" s="2" t="s">
        <v>61</v>
      </c>
      <c r="E12" s="18">
        <v>2</v>
      </c>
      <c r="F12" s="2">
        <f t="shared" si="0"/>
        <v>2</v>
      </c>
    </row>
    <row r="13" s="1" customFormat="1" spans="1:8">
      <c r="A13" s="13" t="s">
        <v>43</v>
      </c>
      <c r="B13" s="10" t="s">
        <v>44</v>
      </c>
      <c r="C13" s="10" t="s">
        <v>45</v>
      </c>
      <c r="D13" s="10" t="s">
        <v>62</v>
      </c>
      <c r="E13" s="19">
        <v>1</v>
      </c>
      <c r="F13" s="10">
        <f t="shared" si="0"/>
        <v>1</v>
      </c>
      <c r="G13" s="9">
        <f>SUM(F2:F13)</f>
        <v>27</v>
      </c>
    </row>
    <row r="14" s="15" customFormat="1" spans="1:8">
      <c r="A14" s="7" t="s">
        <v>46</v>
      </c>
      <c r="B14" s="2">
        <v>203</v>
      </c>
      <c r="C14" s="2" t="s">
        <v>47</v>
      </c>
      <c r="D14" s="7" t="s">
        <v>122</v>
      </c>
      <c r="E14" s="2">
        <v>1</v>
      </c>
      <c r="F14" s="7">
        <f t="shared" ref="F14:F29" si="1">SUM(D14:E14)</f>
        <v>1</v>
      </c>
      <c r="G14" s="8"/>
      <c r="H14" s="8"/>
    </row>
    <row r="15" s="15" customFormat="1" spans="1:8">
      <c r="A15" s="7" t="s">
        <v>46</v>
      </c>
      <c r="B15" s="2">
        <v>203</v>
      </c>
      <c r="C15" s="2" t="s">
        <v>47</v>
      </c>
      <c r="D15" s="7" t="s">
        <v>63</v>
      </c>
      <c r="E15" s="2">
        <v>2</v>
      </c>
      <c r="F15" s="7">
        <f t="shared" si="1"/>
        <v>2</v>
      </c>
      <c r="G15" s="8"/>
      <c r="H15" s="8"/>
    </row>
    <row r="16" s="15" customFormat="1" spans="1:8">
      <c r="A16" s="7" t="s">
        <v>46</v>
      </c>
      <c r="B16" s="2">
        <v>203</v>
      </c>
      <c r="C16" s="2" t="s">
        <v>47</v>
      </c>
      <c r="D16" s="7" t="s">
        <v>61</v>
      </c>
      <c r="E16" s="2">
        <v>2</v>
      </c>
      <c r="F16" s="7">
        <f t="shared" si="1"/>
        <v>2</v>
      </c>
      <c r="G16" s="8"/>
      <c r="H16" s="8"/>
    </row>
    <row r="17" s="15" customFormat="1" spans="1:8">
      <c r="A17" s="7" t="s">
        <v>46</v>
      </c>
      <c r="B17" s="2">
        <v>203</v>
      </c>
      <c r="C17" s="2" t="s">
        <v>47</v>
      </c>
      <c r="D17" s="7" t="s">
        <v>110</v>
      </c>
      <c r="E17" s="2">
        <v>1</v>
      </c>
      <c r="F17" s="7">
        <f t="shared" si="1"/>
        <v>1</v>
      </c>
      <c r="G17" s="8"/>
      <c r="H17" s="8"/>
    </row>
    <row r="18" s="15" customFormat="1" spans="1:8">
      <c r="A18" s="7" t="s">
        <v>46</v>
      </c>
      <c r="B18" s="2">
        <v>203</v>
      </c>
      <c r="C18" s="2" t="s">
        <v>47</v>
      </c>
      <c r="D18" s="7" t="s">
        <v>89</v>
      </c>
      <c r="E18" s="2">
        <v>1</v>
      </c>
      <c r="F18" s="7">
        <f t="shared" si="1"/>
        <v>1</v>
      </c>
      <c r="G18" s="8"/>
      <c r="H18" s="8"/>
    </row>
    <row r="19" s="15" customFormat="1" spans="1:8">
      <c r="A19" s="7" t="s">
        <v>46</v>
      </c>
      <c r="B19" s="2">
        <v>203</v>
      </c>
      <c r="C19" s="2" t="s">
        <v>47</v>
      </c>
      <c r="D19" s="7" t="s">
        <v>62</v>
      </c>
      <c r="E19" s="2">
        <v>1</v>
      </c>
      <c r="F19" s="7">
        <f t="shared" si="1"/>
        <v>1</v>
      </c>
      <c r="G19" s="8"/>
      <c r="H19" s="8"/>
    </row>
    <row r="20" s="15" customFormat="1" spans="1:8">
      <c r="A20" s="7" t="s">
        <v>46</v>
      </c>
      <c r="B20" s="2">
        <v>203</v>
      </c>
      <c r="C20" s="2" t="s">
        <v>47</v>
      </c>
      <c r="D20" s="7" t="s">
        <v>78</v>
      </c>
      <c r="E20" s="2">
        <v>1</v>
      </c>
      <c r="F20" s="7">
        <f t="shared" si="1"/>
        <v>1</v>
      </c>
      <c r="G20" s="8"/>
      <c r="H20" s="8"/>
    </row>
    <row r="21" s="15" customFormat="1" spans="1:8">
      <c r="A21" s="7" t="s">
        <v>46</v>
      </c>
      <c r="B21" s="2">
        <v>203</v>
      </c>
      <c r="C21" s="2" t="s">
        <v>47</v>
      </c>
      <c r="D21" s="7" t="s">
        <v>65</v>
      </c>
      <c r="E21" s="2">
        <v>1</v>
      </c>
      <c r="F21" s="7">
        <f t="shared" si="1"/>
        <v>1</v>
      </c>
      <c r="G21" s="8"/>
      <c r="H21" s="8"/>
    </row>
    <row r="22" s="15" customFormat="1" spans="1:8">
      <c r="A22" s="7" t="s">
        <v>46</v>
      </c>
      <c r="B22" s="2">
        <v>203</v>
      </c>
      <c r="C22" s="2" t="s">
        <v>47</v>
      </c>
      <c r="D22" s="7" t="s">
        <v>70</v>
      </c>
      <c r="E22" s="2">
        <v>1</v>
      </c>
      <c r="F22" s="7">
        <f t="shared" si="1"/>
        <v>1</v>
      </c>
      <c r="G22" s="8"/>
      <c r="H22" s="8"/>
    </row>
    <row r="23" s="15" customFormat="1" spans="1:8">
      <c r="A23" s="13" t="s">
        <v>46</v>
      </c>
      <c r="B23" s="10">
        <v>203</v>
      </c>
      <c r="C23" s="10" t="s">
        <v>47</v>
      </c>
      <c r="D23" s="13" t="s">
        <v>134</v>
      </c>
      <c r="E23" s="10">
        <v>1</v>
      </c>
      <c r="F23" s="13">
        <f t="shared" si="1"/>
        <v>1</v>
      </c>
      <c r="G23" s="14">
        <f>SUM(F14:F23)</f>
        <v>12</v>
      </c>
      <c r="H23" s="8"/>
    </row>
    <row r="24" s="1" customFormat="1" spans="1:8">
      <c r="A24" s="7" t="s">
        <v>46</v>
      </c>
      <c r="B24" s="2">
        <v>178</v>
      </c>
      <c r="C24" s="2" t="s">
        <v>48</v>
      </c>
      <c r="D24" s="7" t="s">
        <v>120</v>
      </c>
      <c r="E24" s="2">
        <v>2</v>
      </c>
      <c r="F24" s="7">
        <f t="shared" si="1"/>
        <v>2</v>
      </c>
    </row>
    <row r="25" s="1" customFormat="1" spans="1:8">
      <c r="A25" s="7" t="s">
        <v>46</v>
      </c>
      <c r="B25" s="2">
        <v>178</v>
      </c>
      <c r="C25" s="2" t="s">
        <v>48</v>
      </c>
      <c r="D25" s="7" t="s">
        <v>110</v>
      </c>
      <c r="E25" s="2">
        <v>1</v>
      </c>
      <c r="F25" s="7">
        <f t="shared" si="1"/>
        <v>1</v>
      </c>
    </row>
    <row r="26" s="1" customFormat="1" spans="1:8">
      <c r="A26" s="7" t="s">
        <v>46</v>
      </c>
      <c r="B26" s="2">
        <v>178</v>
      </c>
      <c r="C26" s="2" t="s">
        <v>48</v>
      </c>
      <c r="D26" s="7" t="s">
        <v>70</v>
      </c>
      <c r="E26" s="2">
        <v>1</v>
      </c>
      <c r="F26" s="7">
        <f t="shared" si="1"/>
        <v>1</v>
      </c>
    </row>
    <row r="27" s="1" customFormat="1" spans="1:8">
      <c r="A27" s="7" t="s">
        <v>46</v>
      </c>
      <c r="B27" s="2">
        <v>178</v>
      </c>
      <c r="C27" s="2" t="s">
        <v>48</v>
      </c>
      <c r="D27" s="7" t="s">
        <v>78</v>
      </c>
      <c r="E27" s="2">
        <v>1</v>
      </c>
      <c r="F27" s="7">
        <f t="shared" si="1"/>
        <v>1</v>
      </c>
    </row>
    <row r="28" s="1" customFormat="1" spans="1:8">
      <c r="A28" s="7" t="s">
        <v>46</v>
      </c>
      <c r="B28" s="2">
        <v>178</v>
      </c>
      <c r="C28" s="2" t="s">
        <v>48</v>
      </c>
      <c r="D28" s="7" t="s">
        <v>62</v>
      </c>
      <c r="E28" s="2">
        <v>1</v>
      </c>
      <c r="F28" s="7">
        <f t="shared" si="1"/>
        <v>1</v>
      </c>
    </row>
    <row r="29" s="1" customFormat="1" spans="1:8">
      <c r="A29" s="13" t="s">
        <v>46</v>
      </c>
      <c r="B29" s="10">
        <v>178</v>
      </c>
      <c r="C29" s="10" t="s">
        <v>48</v>
      </c>
      <c r="D29" s="13" t="s">
        <v>63</v>
      </c>
      <c r="E29" s="10">
        <v>1</v>
      </c>
      <c r="F29" s="13">
        <f t="shared" si="1"/>
        <v>1</v>
      </c>
      <c r="G29" s="14">
        <f>SUM(F24:F29)</f>
        <v>7</v>
      </c>
    </row>
    <row r="30" s="15" customFormat="1" spans="1:8">
      <c r="A30" s="7" t="s">
        <v>49</v>
      </c>
      <c r="B30" s="7">
        <v>2537</v>
      </c>
      <c r="C30" s="7" t="s">
        <v>50</v>
      </c>
      <c r="D30" s="7" t="s">
        <v>134</v>
      </c>
      <c r="E30" s="2">
        <v>1</v>
      </c>
      <c r="F30" s="7">
        <f t="shared" ref="F30:F35" si="2">SUM(E30:E30)</f>
        <v>1</v>
      </c>
    </row>
    <row r="31" s="15" customFormat="1" spans="1:8">
      <c r="A31" s="7" t="s">
        <v>49</v>
      </c>
      <c r="B31" s="7">
        <v>2537</v>
      </c>
      <c r="C31" s="7" t="s">
        <v>50</v>
      </c>
      <c r="D31" s="7" t="s">
        <v>72</v>
      </c>
      <c r="E31" s="2">
        <v>1</v>
      </c>
      <c r="F31" s="7">
        <f t="shared" si="2"/>
        <v>1</v>
      </c>
    </row>
    <row r="32" s="15" customFormat="1" spans="1:8">
      <c r="A32" s="7" t="s">
        <v>49</v>
      </c>
      <c r="B32" s="7">
        <v>2537</v>
      </c>
      <c r="C32" s="7" t="s">
        <v>50</v>
      </c>
      <c r="D32" s="7" t="s">
        <v>68</v>
      </c>
      <c r="E32" s="2">
        <v>1</v>
      </c>
      <c r="F32" s="7">
        <f t="shared" si="2"/>
        <v>1</v>
      </c>
    </row>
    <row r="33" s="15" customFormat="1" spans="1:8">
      <c r="A33" s="13" t="s">
        <v>49</v>
      </c>
      <c r="B33" s="13">
        <v>2537</v>
      </c>
      <c r="C33" s="13" t="s">
        <v>50</v>
      </c>
      <c r="D33" s="13" t="s">
        <v>86</v>
      </c>
      <c r="E33" s="10">
        <v>1</v>
      </c>
      <c r="F33" s="13">
        <f t="shared" si="2"/>
        <v>1</v>
      </c>
      <c r="G33" s="16">
        <f>SUM(F30:F33)</f>
        <v>4</v>
      </c>
    </row>
    <row r="34" s="1" customFormat="1" spans="1:8">
      <c r="A34" s="7" t="s">
        <v>51</v>
      </c>
      <c r="B34" s="20"/>
      <c r="C34" s="7" t="s">
        <v>52</v>
      </c>
      <c r="D34" s="20" t="s">
        <v>63</v>
      </c>
      <c r="E34" s="2">
        <v>1</v>
      </c>
      <c r="F34" s="20">
        <f t="shared" si="2"/>
        <v>1</v>
      </c>
      <c r="G34" s="21"/>
    </row>
    <row r="35" spans="1:8">
      <c r="A35" s="13" t="s">
        <v>51</v>
      </c>
      <c r="B35" s="13"/>
      <c r="C35" s="13" t="s">
        <v>52</v>
      </c>
      <c r="D35" s="13" t="s">
        <v>61</v>
      </c>
      <c r="E35" s="10">
        <v>1</v>
      </c>
      <c r="F35" s="13">
        <f t="shared" si="2"/>
        <v>1</v>
      </c>
      <c r="G35" s="16">
        <f>SUM(F34:F35)</f>
        <v>2</v>
      </c>
      <c r="H35" s="1">
        <f>G33+G35+G29+G23</f>
        <v>25</v>
      </c>
    </row>
    <row r="36" spans="1:8">
      <c r="E36" s="1">
        <f>SUM(E2:E35)</f>
        <v>52</v>
      </c>
      <c r="G36" s="1">
        <f>SUM(G2:G35)</f>
        <v>52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selection activeCell="A1" sqref="A1"/>
    </sheetView>
  </sheetViews>
  <sheetFormatPr defaultColWidth="9.14285714285714" defaultRowHeight="15"/>
  <cols>
    <col min="1" max="1" width="14.1428571428571" style="1" customWidth="1"/>
    <col min="2" max="2" width="19.5714285714286" style="1" customWidth="1"/>
    <col min="3" max="3" width="30.2857142857143" style="1" customWidth="1"/>
    <col min="4" max="4" width="19.4285714285714" style="1" customWidth="1"/>
    <col min="5" max="5" width="11.2857142857143" style="1" customWidth="1"/>
    <col min="6" max="8" width="11" style="1"/>
    <col min="9" max="9" width="12.7142857142857" style="1" customWidth="1"/>
    <col min="10" max="10" width="13.7142857142857" style="1" customWidth="1"/>
    <col min="11" max="13" width="11" style="1"/>
    <col min="14" max="14" width="13.4285714285714" style="1" customWidth="1"/>
    <col min="15" max="15" width="12.8571428571429" style="1" customWidth="1"/>
    <col min="16" max="16" width="11" style="1"/>
    <col min="17" max="16384" width="9.14285714285714" style="1"/>
  </cols>
  <sheetData>
    <row r="1" s="1" customFormat="1" spans="1:16">
      <c r="A1" s="1" t="s">
        <v>0</v>
      </c>
      <c r="B1" s="2" t="s">
        <v>1</v>
      </c>
      <c r="C1" s="2" t="s">
        <v>2</v>
      </c>
      <c r="D1" s="3" t="s">
        <v>60</v>
      </c>
      <c r="E1" s="3">
        <v>30</v>
      </c>
      <c r="F1" s="2">
        <v>32</v>
      </c>
      <c r="G1" s="2">
        <v>34</v>
      </c>
      <c r="H1" s="4">
        <v>36</v>
      </c>
      <c r="I1" s="4">
        <v>38</v>
      </c>
      <c r="J1" s="4">
        <v>40</v>
      </c>
      <c r="K1" s="4">
        <v>42</v>
      </c>
      <c r="L1" s="2">
        <v>44</v>
      </c>
      <c r="M1" s="2">
        <v>46</v>
      </c>
      <c r="N1" s="2">
        <v>48</v>
      </c>
      <c r="O1" s="4" t="s">
        <v>3</v>
      </c>
      <c r="P1" s="5"/>
    </row>
    <row r="2" s="1" customFormat="1" spans="1:16">
      <c r="A2" s="6" t="s">
        <v>53</v>
      </c>
      <c r="B2" s="2">
        <v>1724</v>
      </c>
      <c r="C2" s="2" t="s">
        <v>204</v>
      </c>
      <c r="D2" s="3" t="s">
        <v>71</v>
      </c>
      <c r="E2" s="3"/>
      <c r="F2" s="2">
        <v>2</v>
      </c>
      <c r="G2" s="2">
        <v>0</v>
      </c>
      <c r="H2" s="4">
        <v>0</v>
      </c>
      <c r="I2" s="4">
        <v>0</v>
      </c>
      <c r="J2" s="4">
        <v>0</v>
      </c>
      <c r="K2" s="2">
        <v>0</v>
      </c>
      <c r="L2" s="2">
        <v>0</v>
      </c>
      <c r="M2" s="2">
        <v>0</v>
      </c>
      <c r="N2" s="2">
        <v>0</v>
      </c>
      <c r="O2" s="7">
        <f t="shared" ref="O2:O25" si="0">SUM(F2:N2)</f>
        <v>2</v>
      </c>
      <c r="P2" s="8"/>
    </row>
    <row r="3" s="1" customFormat="1" spans="1:16">
      <c r="A3" s="6" t="s">
        <v>53</v>
      </c>
      <c r="B3" s="2">
        <v>1724</v>
      </c>
      <c r="C3" s="2" t="s">
        <v>204</v>
      </c>
      <c r="D3" s="3" t="s">
        <v>62</v>
      </c>
      <c r="E3" s="3"/>
      <c r="F3" s="2">
        <v>1</v>
      </c>
      <c r="G3" s="2">
        <v>0</v>
      </c>
      <c r="H3" s="4">
        <v>0</v>
      </c>
      <c r="I3" s="4">
        <v>0</v>
      </c>
      <c r="J3" s="4">
        <v>0</v>
      </c>
      <c r="K3" s="2">
        <v>0</v>
      </c>
      <c r="L3" s="2">
        <v>0</v>
      </c>
      <c r="M3" s="2">
        <v>0</v>
      </c>
      <c r="N3" s="2">
        <v>0</v>
      </c>
      <c r="O3" s="7">
        <f t="shared" si="0"/>
        <v>1</v>
      </c>
      <c r="P3" s="8"/>
    </row>
    <row r="4" s="1" customFormat="1" spans="1:16">
      <c r="A4" s="6" t="s">
        <v>53</v>
      </c>
      <c r="B4" s="2">
        <v>1724</v>
      </c>
      <c r="C4" s="2" t="s">
        <v>204</v>
      </c>
      <c r="D4" s="3" t="s">
        <v>63</v>
      </c>
      <c r="E4" s="3"/>
      <c r="F4" s="2">
        <v>1</v>
      </c>
      <c r="G4" s="2">
        <v>0</v>
      </c>
      <c r="H4" s="4">
        <v>0</v>
      </c>
      <c r="I4" s="4">
        <v>0</v>
      </c>
      <c r="J4" s="4">
        <v>0</v>
      </c>
      <c r="K4" s="2">
        <v>0</v>
      </c>
      <c r="L4" s="2">
        <v>0</v>
      </c>
      <c r="M4" s="2">
        <v>0</v>
      </c>
      <c r="N4" s="2">
        <v>0</v>
      </c>
      <c r="O4" s="7">
        <f t="shared" si="0"/>
        <v>1</v>
      </c>
      <c r="P4" s="8"/>
    </row>
    <row r="5" s="1" customFormat="1" spans="1:16">
      <c r="A5" s="9" t="s">
        <v>53</v>
      </c>
      <c r="B5" s="10">
        <v>1724</v>
      </c>
      <c r="C5" s="10" t="s">
        <v>204</v>
      </c>
      <c r="D5" s="11" t="s">
        <v>61</v>
      </c>
      <c r="E5" s="11"/>
      <c r="F5" s="10">
        <v>1</v>
      </c>
      <c r="G5" s="10">
        <v>2</v>
      </c>
      <c r="H5" s="12">
        <v>1</v>
      </c>
      <c r="I5" s="12">
        <v>0</v>
      </c>
      <c r="J5" s="12">
        <v>0</v>
      </c>
      <c r="K5" s="10">
        <v>0</v>
      </c>
      <c r="L5" s="10">
        <v>0</v>
      </c>
      <c r="M5" s="10">
        <v>0</v>
      </c>
      <c r="N5" s="10">
        <v>0</v>
      </c>
      <c r="O5" s="13">
        <f t="shared" si="0"/>
        <v>4</v>
      </c>
      <c r="P5" s="14">
        <f>SUM(O2:O5)</f>
        <v>8</v>
      </c>
    </row>
    <row r="6" s="1" customFormat="1" spans="1:16">
      <c r="A6" s="9" t="s">
        <v>53</v>
      </c>
      <c r="B6" s="10">
        <v>1830</v>
      </c>
      <c r="C6" s="10" t="s">
        <v>205</v>
      </c>
      <c r="D6" s="11" t="s">
        <v>61</v>
      </c>
      <c r="E6" s="11"/>
      <c r="F6" s="10">
        <v>0</v>
      </c>
      <c r="G6" s="10">
        <v>1</v>
      </c>
      <c r="H6" s="12">
        <v>0</v>
      </c>
      <c r="I6" s="12">
        <v>1</v>
      </c>
      <c r="J6" s="12">
        <v>0</v>
      </c>
      <c r="K6" s="10">
        <v>0</v>
      </c>
      <c r="L6" s="10">
        <v>0</v>
      </c>
      <c r="M6" s="10">
        <v>0</v>
      </c>
      <c r="N6" s="10">
        <v>0</v>
      </c>
      <c r="O6" s="13">
        <f t="shared" si="0"/>
        <v>2</v>
      </c>
      <c r="P6" s="14">
        <f t="shared" ref="P6:P10" si="1">O6</f>
        <v>2</v>
      </c>
    </row>
    <row r="7" s="1" customFormat="1" spans="1:16">
      <c r="A7" s="6" t="s">
        <v>53</v>
      </c>
      <c r="B7" s="2">
        <v>1919</v>
      </c>
      <c r="C7" s="2" t="s">
        <v>206</v>
      </c>
      <c r="D7" s="3" t="s">
        <v>61</v>
      </c>
      <c r="E7" s="3"/>
      <c r="F7" s="2">
        <v>0</v>
      </c>
      <c r="G7" s="2">
        <v>0</v>
      </c>
      <c r="H7" s="4">
        <v>3</v>
      </c>
      <c r="I7" s="4">
        <v>0</v>
      </c>
      <c r="J7" s="4">
        <v>0</v>
      </c>
      <c r="K7" s="2">
        <v>0</v>
      </c>
      <c r="L7" s="2">
        <v>0</v>
      </c>
      <c r="M7" s="2">
        <v>0</v>
      </c>
      <c r="N7" s="2">
        <v>0</v>
      </c>
      <c r="O7" s="7">
        <f t="shared" si="0"/>
        <v>3</v>
      </c>
      <c r="P7" s="8"/>
    </row>
    <row r="8" s="1" customFormat="1" spans="1:16">
      <c r="A8" s="9" t="s">
        <v>53</v>
      </c>
      <c r="B8" s="10">
        <v>1919</v>
      </c>
      <c r="C8" s="10" t="s">
        <v>206</v>
      </c>
      <c r="D8" s="11" t="s">
        <v>62</v>
      </c>
      <c r="E8" s="11"/>
      <c r="F8" s="10">
        <v>0</v>
      </c>
      <c r="G8" s="10">
        <v>0</v>
      </c>
      <c r="H8" s="12">
        <v>1</v>
      </c>
      <c r="I8" s="12">
        <v>0</v>
      </c>
      <c r="J8" s="12">
        <v>5</v>
      </c>
      <c r="K8" s="10">
        <v>0</v>
      </c>
      <c r="L8" s="10">
        <v>0</v>
      </c>
      <c r="M8" s="10">
        <v>0</v>
      </c>
      <c r="N8" s="10">
        <v>0</v>
      </c>
      <c r="O8" s="13">
        <f t="shared" si="0"/>
        <v>6</v>
      </c>
      <c r="P8" s="14">
        <f>O7+O8</f>
        <v>9</v>
      </c>
    </row>
    <row r="9" s="1" customFormat="1" spans="1:16">
      <c r="A9" s="6" t="s">
        <v>53</v>
      </c>
      <c r="B9" s="2">
        <v>1927</v>
      </c>
      <c r="C9" s="2" t="s">
        <v>207</v>
      </c>
      <c r="D9" s="3" t="s">
        <v>67</v>
      </c>
      <c r="E9" s="3"/>
      <c r="F9" s="2">
        <v>0</v>
      </c>
      <c r="G9" s="2">
        <v>0</v>
      </c>
      <c r="H9" s="4">
        <v>0</v>
      </c>
      <c r="I9" s="4">
        <v>1</v>
      </c>
      <c r="J9" s="4">
        <v>0</v>
      </c>
      <c r="K9" s="2">
        <v>0</v>
      </c>
      <c r="L9" s="2">
        <v>0</v>
      </c>
      <c r="M9" s="2">
        <v>0</v>
      </c>
      <c r="N9" s="2">
        <v>0</v>
      </c>
      <c r="O9" s="7">
        <f t="shared" si="0"/>
        <v>1</v>
      </c>
      <c r="P9" s="8">
        <f t="shared" si="1"/>
        <v>1</v>
      </c>
    </row>
    <row r="10" s="1" customFormat="1" spans="1:16">
      <c r="A10" s="6" t="s">
        <v>53</v>
      </c>
      <c r="B10" s="2">
        <v>1932</v>
      </c>
      <c r="C10" s="2" t="s">
        <v>208</v>
      </c>
      <c r="D10" s="3" t="s">
        <v>63</v>
      </c>
      <c r="E10" s="3"/>
      <c r="F10" s="2">
        <v>0</v>
      </c>
      <c r="G10" s="2">
        <v>1</v>
      </c>
      <c r="H10" s="4">
        <v>0</v>
      </c>
      <c r="I10" s="4">
        <v>2</v>
      </c>
      <c r="J10" s="4">
        <v>0</v>
      </c>
      <c r="K10" s="2">
        <v>0</v>
      </c>
      <c r="L10" s="2">
        <v>0</v>
      </c>
      <c r="M10" s="2">
        <v>0</v>
      </c>
      <c r="N10" s="2">
        <v>0</v>
      </c>
      <c r="O10" s="7">
        <f t="shared" si="0"/>
        <v>3</v>
      </c>
      <c r="P10" s="8">
        <f t="shared" si="1"/>
        <v>3</v>
      </c>
    </row>
    <row r="11" s="1" customFormat="1" spans="1:16">
      <c r="A11" s="6" t="s">
        <v>53</v>
      </c>
      <c r="B11" s="7">
        <v>1933</v>
      </c>
      <c r="C11" s="2" t="s">
        <v>209</v>
      </c>
      <c r="D11" s="6" t="s">
        <v>210</v>
      </c>
      <c r="E11" s="6"/>
      <c r="F11" s="2">
        <v>2</v>
      </c>
      <c r="G11" s="2">
        <v>2</v>
      </c>
      <c r="H11" s="4">
        <v>1</v>
      </c>
      <c r="I11" s="4">
        <v>2</v>
      </c>
      <c r="J11" s="4">
        <v>1</v>
      </c>
      <c r="K11" s="2">
        <v>0</v>
      </c>
      <c r="L11" s="2">
        <v>0</v>
      </c>
      <c r="M11" s="2">
        <v>0</v>
      </c>
      <c r="N11" s="2">
        <v>0</v>
      </c>
      <c r="O11" s="7">
        <f t="shared" si="0"/>
        <v>8</v>
      </c>
      <c r="P11" s="15"/>
    </row>
    <row r="12" s="1" customFormat="1" spans="1:16">
      <c r="A12" s="6" t="s">
        <v>53</v>
      </c>
      <c r="B12" s="7">
        <v>1932</v>
      </c>
      <c r="C12" s="2" t="s">
        <v>209</v>
      </c>
      <c r="D12" s="6" t="s">
        <v>211</v>
      </c>
      <c r="E12" s="6"/>
      <c r="F12" s="2">
        <v>1</v>
      </c>
      <c r="G12" s="2">
        <v>1</v>
      </c>
      <c r="H12" s="4">
        <v>1</v>
      </c>
      <c r="I12" s="4">
        <v>4</v>
      </c>
      <c r="J12" s="4">
        <v>0</v>
      </c>
      <c r="K12" s="2">
        <v>0</v>
      </c>
      <c r="L12" s="2">
        <v>0</v>
      </c>
      <c r="M12" s="2">
        <v>0</v>
      </c>
      <c r="N12" s="2">
        <v>0</v>
      </c>
      <c r="O12" s="7">
        <f t="shared" si="0"/>
        <v>7</v>
      </c>
      <c r="P12" s="15"/>
    </row>
    <row r="13" s="1" customFormat="1" spans="1:16">
      <c r="A13" s="6" t="s">
        <v>53</v>
      </c>
      <c r="B13" s="7">
        <v>1933</v>
      </c>
      <c r="C13" s="2" t="s">
        <v>209</v>
      </c>
      <c r="D13" s="6" t="s">
        <v>212</v>
      </c>
      <c r="E13" s="6"/>
      <c r="F13" s="2">
        <v>1</v>
      </c>
      <c r="G13" s="2">
        <v>0</v>
      </c>
      <c r="H13" s="4">
        <v>1</v>
      </c>
      <c r="I13" s="4">
        <v>0</v>
      </c>
      <c r="J13" s="4">
        <v>0</v>
      </c>
      <c r="K13" s="2">
        <v>0</v>
      </c>
      <c r="L13" s="2">
        <v>0</v>
      </c>
      <c r="M13" s="2">
        <v>0</v>
      </c>
      <c r="N13" s="2">
        <v>0</v>
      </c>
      <c r="O13" s="7">
        <f t="shared" si="0"/>
        <v>2</v>
      </c>
      <c r="P13" s="15"/>
    </row>
    <row r="14" s="1" customFormat="1" spans="1:16">
      <c r="A14" s="6" t="s">
        <v>53</v>
      </c>
      <c r="B14" s="7">
        <v>1924</v>
      </c>
      <c r="C14" s="2" t="s">
        <v>209</v>
      </c>
      <c r="D14" s="6" t="s">
        <v>213</v>
      </c>
      <c r="E14" s="6"/>
      <c r="F14" s="2">
        <v>0</v>
      </c>
      <c r="G14" s="2">
        <v>1</v>
      </c>
      <c r="H14" s="4">
        <v>1</v>
      </c>
      <c r="I14" s="4">
        <v>1</v>
      </c>
      <c r="J14" s="4">
        <v>2</v>
      </c>
      <c r="K14" s="2">
        <v>0</v>
      </c>
      <c r="L14" s="2">
        <v>0</v>
      </c>
      <c r="M14" s="2">
        <v>0</v>
      </c>
      <c r="N14" s="2">
        <v>0</v>
      </c>
      <c r="O14" s="7">
        <f t="shared" si="0"/>
        <v>5</v>
      </c>
      <c r="P14" s="15"/>
    </row>
    <row r="15" s="1" customFormat="1" spans="1:16">
      <c r="A15" s="6" t="s">
        <v>53</v>
      </c>
      <c r="B15" s="7">
        <v>1934</v>
      </c>
      <c r="C15" s="2" t="s">
        <v>209</v>
      </c>
      <c r="D15" s="6" t="s">
        <v>211</v>
      </c>
      <c r="E15" s="6"/>
      <c r="F15" s="2">
        <v>0</v>
      </c>
      <c r="G15" s="2">
        <v>1</v>
      </c>
      <c r="H15" s="4">
        <v>0</v>
      </c>
      <c r="I15" s="4">
        <v>0</v>
      </c>
      <c r="J15" s="4">
        <v>0</v>
      </c>
      <c r="K15" s="2">
        <v>0</v>
      </c>
      <c r="L15" s="2">
        <v>0</v>
      </c>
      <c r="M15" s="2">
        <v>0</v>
      </c>
      <c r="N15" s="2">
        <v>0</v>
      </c>
      <c r="O15" s="7">
        <f t="shared" si="0"/>
        <v>1</v>
      </c>
      <c r="P15" s="15"/>
    </row>
    <row r="16" s="1" customFormat="1" spans="1:16">
      <c r="A16" s="9" t="s">
        <v>53</v>
      </c>
      <c r="B16" s="13">
        <v>1934</v>
      </c>
      <c r="C16" s="10" t="s">
        <v>209</v>
      </c>
      <c r="D16" s="9" t="s">
        <v>214</v>
      </c>
      <c r="E16" s="9"/>
      <c r="F16" s="10">
        <v>0</v>
      </c>
      <c r="G16" s="10">
        <v>1</v>
      </c>
      <c r="H16" s="12">
        <v>0</v>
      </c>
      <c r="I16" s="12">
        <v>0</v>
      </c>
      <c r="J16" s="12">
        <v>0</v>
      </c>
      <c r="K16" s="10">
        <v>0</v>
      </c>
      <c r="L16" s="10">
        <v>0</v>
      </c>
      <c r="M16" s="10">
        <v>0</v>
      </c>
      <c r="N16" s="10">
        <v>0</v>
      </c>
      <c r="O16" s="13">
        <f t="shared" si="0"/>
        <v>1</v>
      </c>
      <c r="P16" s="16">
        <f>SUM(O11:O16)</f>
        <v>24</v>
      </c>
    </row>
    <row r="17" s="1" customFormat="1" spans="1:17">
      <c r="A17" s="6" t="s">
        <v>53</v>
      </c>
      <c r="B17" s="7">
        <v>2004</v>
      </c>
      <c r="C17" s="17" t="s">
        <v>215</v>
      </c>
      <c r="D17" s="6" t="s">
        <v>70</v>
      </c>
      <c r="E17" s="6"/>
      <c r="F17" s="2">
        <v>0</v>
      </c>
      <c r="G17" s="2">
        <v>0</v>
      </c>
      <c r="H17" s="4">
        <v>0</v>
      </c>
      <c r="I17" s="4">
        <v>0</v>
      </c>
      <c r="J17" s="4">
        <v>3</v>
      </c>
      <c r="K17" s="2">
        <v>0</v>
      </c>
      <c r="L17" s="2">
        <v>0</v>
      </c>
      <c r="M17" s="2">
        <v>0</v>
      </c>
      <c r="N17" s="2">
        <v>0</v>
      </c>
      <c r="O17" s="7">
        <f t="shared" si="0"/>
        <v>3</v>
      </c>
      <c r="P17" s="15"/>
    </row>
    <row r="18" s="1" customFormat="1" spans="1:17">
      <c r="A18" s="6" t="s">
        <v>53</v>
      </c>
      <c r="B18" s="7">
        <v>2004</v>
      </c>
      <c r="C18" s="17" t="s">
        <v>215</v>
      </c>
      <c r="D18" s="6" t="s">
        <v>138</v>
      </c>
      <c r="E18" s="6"/>
      <c r="F18" s="2">
        <v>0</v>
      </c>
      <c r="G18" s="2">
        <v>1</v>
      </c>
      <c r="H18" s="4">
        <v>1</v>
      </c>
      <c r="I18" s="4">
        <v>3</v>
      </c>
      <c r="J18" s="4">
        <v>1</v>
      </c>
      <c r="K18" s="2">
        <v>0</v>
      </c>
      <c r="L18" s="2">
        <v>0</v>
      </c>
      <c r="M18" s="2">
        <v>0</v>
      </c>
      <c r="N18" s="2">
        <v>0</v>
      </c>
      <c r="O18" s="7">
        <f t="shared" si="0"/>
        <v>6</v>
      </c>
      <c r="P18" s="15"/>
    </row>
    <row r="19" s="1" customFormat="1" spans="1:17">
      <c r="A19" s="6" t="s">
        <v>53</v>
      </c>
      <c r="B19" s="7">
        <v>2004</v>
      </c>
      <c r="C19" s="17" t="s">
        <v>215</v>
      </c>
      <c r="D19" s="6" t="s">
        <v>201</v>
      </c>
      <c r="E19" s="6"/>
      <c r="F19" s="2">
        <v>0</v>
      </c>
      <c r="G19" s="2">
        <v>1</v>
      </c>
      <c r="H19" s="4">
        <v>0</v>
      </c>
      <c r="I19" s="4">
        <v>0</v>
      </c>
      <c r="J19" s="4">
        <v>0</v>
      </c>
      <c r="K19" s="2">
        <v>0</v>
      </c>
      <c r="L19" s="2">
        <v>0</v>
      </c>
      <c r="M19" s="2">
        <v>0</v>
      </c>
      <c r="N19" s="2">
        <v>0</v>
      </c>
      <c r="O19" s="7">
        <f t="shared" si="0"/>
        <v>1</v>
      </c>
      <c r="P19" s="15"/>
    </row>
    <row r="20" s="1" customFormat="1" spans="1:17">
      <c r="A20" s="6" t="s">
        <v>53</v>
      </c>
      <c r="B20" s="7">
        <v>2004</v>
      </c>
      <c r="C20" s="17" t="s">
        <v>215</v>
      </c>
      <c r="D20" s="6" t="s">
        <v>71</v>
      </c>
      <c r="E20" s="6"/>
      <c r="F20" s="2">
        <v>0</v>
      </c>
      <c r="G20" s="2">
        <v>3</v>
      </c>
      <c r="H20" s="4">
        <v>0</v>
      </c>
      <c r="I20" s="4">
        <v>3</v>
      </c>
      <c r="J20" s="4">
        <v>5</v>
      </c>
      <c r="K20" s="2">
        <v>0</v>
      </c>
      <c r="L20" s="2">
        <v>0</v>
      </c>
      <c r="M20" s="2">
        <v>0</v>
      </c>
      <c r="N20" s="2">
        <v>0</v>
      </c>
      <c r="O20" s="7">
        <f t="shared" si="0"/>
        <v>11</v>
      </c>
      <c r="P20" s="15"/>
    </row>
    <row r="21" s="1" customFormat="1" spans="1:17">
      <c r="A21" s="6" t="s">
        <v>53</v>
      </c>
      <c r="B21" s="7">
        <v>2004</v>
      </c>
      <c r="C21" s="17" t="s">
        <v>215</v>
      </c>
      <c r="D21" s="6" t="s">
        <v>86</v>
      </c>
      <c r="E21" s="6"/>
      <c r="F21" s="2">
        <v>0</v>
      </c>
      <c r="G21" s="2">
        <v>2</v>
      </c>
      <c r="H21" s="4">
        <v>0</v>
      </c>
      <c r="I21" s="4">
        <v>2</v>
      </c>
      <c r="J21" s="4">
        <v>1</v>
      </c>
      <c r="K21" s="2">
        <v>0</v>
      </c>
      <c r="L21" s="2">
        <v>0</v>
      </c>
      <c r="M21" s="2">
        <v>0</v>
      </c>
      <c r="N21" s="2">
        <v>0</v>
      </c>
      <c r="O21" s="7">
        <f t="shared" si="0"/>
        <v>5</v>
      </c>
      <c r="P21" s="15"/>
    </row>
    <row r="22" s="1" customFormat="1" spans="1:17">
      <c r="A22" s="9" t="s">
        <v>53</v>
      </c>
      <c r="B22" s="13">
        <v>2004</v>
      </c>
      <c r="C22" s="10" t="s">
        <v>215</v>
      </c>
      <c r="D22" s="9" t="s">
        <v>62</v>
      </c>
      <c r="E22" s="9"/>
      <c r="F22" s="10">
        <v>0</v>
      </c>
      <c r="G22" s="10">
        <v>0</v>
      </c>
      <c r="H22" s="12">
        <v>0</v>
      </c>
      <c r="I22" s="12">
        <v>0</v>
      </c>
      <c r="J22" s="12">
        <v>3</v>
      </c>
      <c r="K22" s="10">
        <v>0</v>
      </c>
      <c r="L22" s="10">
        <v>0</v>
      </c>
      <c r="M22" s="10">
        <v>0</v>
      </c>
      <c r="N22" s="10">
        <v>0</v>
      </c>
      <c r="O22" s="13">
        <f t="shared" si="0"/>
        <v>3</v>
      </c>
      <c r="P22" s="16">
        <f>O17+O18+O19+O20+O21+O22</f>
        <v>29</v>
      </c>
      <c r="Q22" s="1">
        <f>O29-P25</f>
        <v>76</v>
      </c>
    </row>
    <row r="23" s="1" customFormat="1" spans="1:17">
      <c r="A23" s="6" t="s">
        <v>53</v>
      </c>
      <c r="B23" s="2">
        <v>1922</v>
      </c>
      <c r="C23" s="2" t="s">
        <v>55</v>
      </c>
      <c r="D23" s="3" t="s">
        <v>61</v>
      </c>
      <c r="E23" s="3"/>
      <c r="F23" s="2">
        <v>0</v>
      </c>
      <c r="G23" s="2">
        <v>1</v>
      </c>
      <c r="H23" s="4">
        <v>1</v>
      </c>
      <c r="I23" s="4">
        <v>1</v>
      </c>
      <c r="J23" s="4">
        <v>0</v>
      </c>
      <c r="K23" s="2">
        <v>0</v>
      </c>
      <c r="L23" s="2">
        <v>0</v>
      </c>
      <c r="M23" s="2">
        <v>0</v>
      </c>
      <c r="N23" s="2">
        <v>0</v>
      </c>
      <c r="O23" s="7">
        <f t="shared" si="0"/>
        <v>3</v>
      </c>
    </row>
    <row r="24" s="1" customFormat="1" spans="1:17">
      <c r="A24" s="6" t="s">
        <v>53</v>
      </c>
      <c r="B24" s="2">
        <v>1922</v>
      </c>
      <c r="C24" s="2" t="s">
        <v>55</v>
      </c>
      <c r="D24" s="6" t="s">
        <v>62</v>
      </c>
      <c r="E24" s="6"/>
      <c r="F24" s="2">
        <v>0</v>
      </c>
      <c r="G24" s="2">
        <v>1</v>
      </c>
      <c r="H24" s="4">
        <v>1</v>
      </c>
      <c r="I24" s="4">
        <v>1</v>
      </c>
      <c r="J24" s="4">
        <v>1</v>
      </c>
      <c r="K24" s="2">
        <v>0</v>
      </c>
      <c r="L24" s="2">
        <v>0</v>
      </c>
      <c r="M24" s="2">
        <v>0</v>
      </c>
      <c r="N24" s="2">
        <v>0</v>
      </c>
      <c r="O24" s="7">
        <f t="shared" si="0"/>
        <v>4</v>
      </c>
    </row>
    <row r="25" s="1" customFormat="1" spans="1:17">
      <c r="A25" s="9" t="s">
        <v>53</v>
      </c>
      <c r="B25" s="10">
        <v>1922</v>
      </c>
      <c r="C25" s="10" t="s">
        <v>55</v>
      </c>
      <c r="D25" s="9" t="s">
        <v>71</v>
      </c>
      <c r="E25" s="9"/>
      <c r="F25" s="10">
        <v>0</v>
      </c>
      <c r="G25" s="10">
        <v>0</v>
      </c>
      <c r="H25" s="12">
        <v>0</v>
      </c>
      <c r="I25" s="12">
        <v>1</v>
      </c>
      <c r="J25" s="12">
        <v>1</v>
      </c>
      <c r="K25" s="10">
        <v>0</v>
      </c>
      <c r="L25" s="10">
        <v>0</v>
      </c>
      <c r="M25" s="10">
        <v>0</v>
      </c>
      <c r="N25" s="10">
        <v>0</v>
      </c>
      <c r="O25" s="13">
        <f t="shared" si="0"/>
        <v>2</v>
      </c>
      <c r="P25" s="16">
        <f>O23+O24+O25</f>
        <v>9</v>
      </c>
    </row>
    <row r="26" s="1" customFormat="1" spans="1:17">
      <c r="A26" s="6"/>
      <c r="B26" s="7"/>
      <c r="C26" s="2"/>
      <c r="D26" s="6"/>
      <c r="E26" s="6"/>
      <c r="F26" s="2"/>
      <c r="G26" s="2"/>
      <c r="H26" s="4"/>
      <c r="I26" s="4"/>
      <c r="J26" s="4"/>
      <c r="K26" s="2"/>
      <c r="L26" s="2"/>
      <c r="M26" s="2"/>
      <c r="N26" s="2"/>
      <c r="O26" s="7"/>
      <c r="P26" s="15"/>
    </row>
    <row r="27" s="1" customFormat="1" spans="1:17">
      <c r="A27" s="6"/>
      <c r="B27" s="7"/>
      <c r="C27" s="2"/>
      <c r="D27" s="6"/>
      <c r="E27" s="6"/>
      <c r="F27" s="2"/>
      <c r="G27" s="2"/>
      <c r="H27" s="4"/>
      <c r="I27" s="4"/>
      <c r="J27" s="4"/>
      <c r="K27" s="2"/>
      <c r="L27" s="2"/>
      <c r="M27" s="2"/>
      <c r="N27" s="2"/>
      <c r="O27" s="7"/>
      <c r="P27" s="15"/>
    </row>
    <row r="28" s="1" customFormat="1" spans="1:17">
      <c r="A28" s="6"/>
      <c r="B28" s="7"/>
      <c r="C28" s="17"/>
      <c r="D28" s="6"/>
      <c r="E28" s="6"/>
      <c r="F28" s="2"/>
      <c r="G28" s="2"/>
      <c r="H28" s="4"/>
      <c r="I28" s="4"/>
      <c r="J28" s="4"/>
      <c r="K28" s="2"/>
      <c r="L28" s="2"/>
      <c r="M28" s="2"/>
      <c r="N28" s="2"/>
      <c r="O28" s="7"/>
      <c r="P28" s="15"/>
    </row>
    <row r="29" s="1" customFormat="1" spans="1:17">
      <c r="F29" s="2">
        <f t="shared" ref="F29:P29" si="2">SUM(F2:F28)</f>
        <v>9</v>
      </c>
      <c r="G29" s="2">
        <f t="shared" si="2"/>
        <v>19</v>
      </c>
      <c r="H29" s="2">
        <f t="shared" si="2"/>
        <v>12</v>
      </c>
      <c r="I29" s="2">
        <f t="shared" si="2"/>
        <v>22</v>
      </c>
      <c r="J29" s="2">
        <f t="shared" si="2"/>
        <v>23</v>
      </c>
      <c r="K29" s="2">
        <f t="shared" si="2"/>
        <v>0</v>
      </c>
      <c r="L29" s="2">
        <f t="shared" si="2"/>
        <v>0</v>
      </c>
      <c r="M29" s="2">
        <f t="shared" si="2"/>
        <v>0</v>
      </c>
      <c r="N29" s="2">
        <f t="shared" si="2"/>
        <v>0</v>
      </c>
      <c r="O29" s="2">
        <f t="shared" si="2"/>
        <v>85</v>
      </c>
      <c r="P29" s="2">
        <f t="shared" si="2"/>
        <v>85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CODIGO</vt:lpstr>
      <vt:lpstr>ABRIGO</vt:lpstr>
      <vt:lpstr>SACO</vt:lpstr>
      <vt:lpstr>CHALECO</vt:lpstr>
      <vt:lpstr>SUETER UNITALLA XL </vt:lpstr>
      <vt:lpstr>BLUSA SUETER COORD</vt:lpstr>
      <vt:lpstr>SUETER CH G</vt:lpstr>
      <vt:lpstr>FALDA TALLAS</vt:lpstr>
      <vt:lpstr>UNITALLA FALVEST</vt:lpstr>
      <vt:lpstr>COORD TELA TALLAS</vt:lpstr>
      <vt:lpstr>Hoja11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</dc:creator>
  <cp:lastModifiedBy>LENOVO G 41-35</cp:lastModifiedBy>
  <dcterms:created xsi:type="dcterms:W3CDTF">2026-09-11T22:46:00Z</dcterms:created>
  <dcterms:modified xsi:type="dcterms:W3CDTF">2026-09-14T20:01:51Z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4EAAB37BADCD445A99B2823346B74C46_11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