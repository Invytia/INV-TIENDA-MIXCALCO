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 firstSheet="5" activeTab="9"/>
  </bookViews>
  <sheets>
    <sheet name="CODIGO" sheetId="14" r:id="rId1"/>
    <sheet name="493-01" sheetId="1" r:id="rId2"/>
    <sheet name="493-02" sheetId="8" r:id="rId3"/>
    <sheet name="493-03" sheetId="9" r:id="rId4"/>
    <sheet name="ELEGANCE-04" sheetId="10" r:id="rId5"/>
    <sheet name="ELEGANCE-05" sheetId="17" r:id="rId6"/>
    <sheet name="2025" sheetId="12" r:id="rId7"/>
    <sheet name="7003" sheetId="18" r:id="rId8"/>
    <sheet name="JANET Pretina 06" sheetId="19" r:id="rId9"/>
    <sheet name="CAPRI" sheetId="11" r:id="rId10"/>
    <sheet name="MAYON" sheetId="20" r:id="rId11"/>
    <sheet name="Hoja6" sheetId="6" r:id="rId12"/>
    <sheet name="Hoja7" sheetId="7" r:id="rId13"/>
  </sheets>
  <definedNames>
    <definedName name="_xlnm._FilterDatabase" localSheetId="1" hidden="1">'493-01'!$A$1:$AH$59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<sst xmlns="http://schemas.openxmlformats.org/spreadsheetml/2006/main" count="1544" uniqueCount="176">
  <si>
    <t>No.</t>
  </si>
  <si>
    <t>Proveedor</t>
  </si>
  <si>
    <t>Còdigo prov</t>
  </si>
  <si>
    <t>Carateristica</t>
  </si>
  <si>
    <t>unidades tt</t>
  </si>
  <si>
    <t>D´MOREM</t>
  </si>
  <si>
    <t>493-01</t>
  </si>
  <si>
    <t>BASICO PRETINA</t>
  </si>
  <si>
    <t>493-02</t>
  </si>
  <si>
    <t>BASICO 1/2 RESORTE</t>
  </si>
  <si>
    <t>493-03</t>
  </si>
  <si>
    <t>BASICO RESORTE</t>
  </si>
  <si>
    <t>ELEGANCE-04</t>
  </si>
  <si>
    <t>ELEGANCE PRETINA</t>
  </si>
  <si>
    <t>ELEGANCE-05</t>
  </si>
  <si>
    <t>ELEGANCE 1/2 RESORTE</t>
  </si>
  <si>
    <t>JUVENIL 2025</t>
  </si>
  <si>
    <t>MONSERRAT</t>
  </si>
  <si>
    <t>PUNTO DE ROMA</t>
  </si>
  <si>
    <t>JANET</t>
  </si>
  <si>
    <t>PRETINA CORINTIO</t>
  </si>
  <si>
    <t>CAPRI</t>
  </si>
  <si>
    <t>MAYON</t>
  </si>
  <si>
    <t>ANNY ITALY</t>
  </si>
  <si>
    <t>S/MARCA</t>
  </si>
  <si>
    <t>Color</t>
  </si>
  <si>
    <t>VENDIDO</t>
  </si>
  <si>
    <t>STOCK</t>
  </si>
  <si>
    <t>VENDIDOS</t>
  </si>
  <si>
    <t>D´Morem</t>
  </si>
  <si>
    <t>Pretina 01</t>
  </si>
  <si>
    <t>Negro</t>
  </si>
  <si>
    <t>Gris medio</t>
  </si>
  <si>
    <t>Oxford</t>
  </si>
  <si>
    <t>Marino</t>
  </si>
  <si>
    <t>Petroleo</t>
  </si>
  <si>
    <t>Turquesa</t>
  </si>
  <si>
    <t>Rey</t>
  </si>
  <si>
    <t>Azul Cancun</t>
  </si>
  <si>
    <t>Mezclilla</t>
  </si>
  <si>
    <t>Cielo</t>
  </si>
  <si>
    <t>Militar</t>
  </si>
  <si>
    <t>Botella</t>
  </si>
  <si>
    <t>Bandera</t>
  </si>
  <si>
    <t>Esmeralda</t>
  </si>
  <si>
    <t>Kelly</t>
  </si>
  <si>
    <t>Jade</t>
  </si>
  <si>
    <t>Manzana</t>
  </si>
  <si>
    <t>Limòn</t>
  </si>
  <si>
    <t>Cemento oscuro</t>
  </si>
  <si>
    <t>Cemento claro</t>
  </si>
  <si>
    <t>Menta</t>
  </si>
  <si>
    <t>Lima</t>
  </si>
  <si>
    <t>Pistache</t>
  </si>
  <si>
    <t>Agua</t>
  </si>
  <si>
    <t>Uva</t>
  </si>
  <si>
    <t>Berenjena</t>
  </si>
  <si>
    <t>Malva</t>
  </si>
  <si>
    <t>Fucsia</t>
  </si>
  <si>
    <t>Lila</t>
  </si>
  <si>
    <t>Palo</t>
  </si>
  <si>
    <t>Baby</t>
  </si>
  <si>
    <t>Rosa Pastel</t>
  </si>
  <si>
    <t>Rojo</t>
  </si>
  <si>
    <t>V.Tinto</t>
  </si>
  <si>
    <t>Vino</t>
  </si>
  <si>
    <t>Chedron</t>
  </si>
  <si>
    <t>Naranja</t>
  </si>
  <si>
    <t>Mamey</t>
  </si>
  <si>
    <t>Chabacano</t>
  </si>
  <si>
    <t>Durazno</t>
  </si>
  <si>
    <t>Mostaza</t>
  </si>
  <si>
    <t>Ocre</t>
  </si>
  <si>
    <t>Càfe</t>
  </si>
  <si>
    <t>Moka</t>
  </si>
  <si>
    <t>Topo</t>
  </si>
  <si>
    <t>Camel</t>
  </si>
  <si>
    <t>Capuchino</t>
  </si>
  <si>
    <t>Beige</t>
  </si>
  <si>
    <t>Arena</t>
  </si>
  <si>
    <t>Arena Cancun</t>
  </si>
  <si>
    <t>Vainilla</t>
  </si>
  <si>
    <t>Mantequilla</t>
  </si>
  <si>
    <t>Coral</t>
  </si>
  <si>
    <t>Blanco</t>
  </si>
  <si>
    <t>Pata negro</t>
  </si>
  <si>
    <t>Pata gris</t>
  </si>
  <si>
    <t>Pata rosa</t>
  </si>
  <si>
    <t>Gama</t>
  </si>
  <si>
    <t>Medio resorte 02</t>
  </si>
  <si>
    <t>Gris</t>
  </si>
  <si>
    <t>Azul</t>
  </si>
  <si>
    <t>Verde</t>
  </si>
  <si>
    <t>Rosa</t>
  </si>
  <si>
    <t>Cafè</t>
  </si>
  <si>
    <t>Shedron</t>
  </si>
  <si>
    <t>chabacano</t>
  </si>
  <si>
    <t>camel</t>
  </si>
  <si>
    <t>arena</t>
  </si>
  <si>
    <t>P. de Gallo</t>
  </si>
  <si>
    <t>Resorte 03</t>
  </si>
  <si>
    <t>D´Morem elegance</t>
  </si>
  <si>
    <t>ELEGANCE</t>
  </si>
  <si>
    <t>Pretina 04</t>
  </si>
  <si>
    <t>Rombo</t>
  </si>
  <si>
    <t>Cafe</t>
  </si>
  <si>
    <t>Pata</t>
  </si>
  <si>
    <t>Espiga</t>
  </si>
  <si>
    <t xml:space="preserve">Rosa </t>
  </si>
  <si>
    <t>Camello</t>
  </si>
  <si>
    <t>Jaspeado</t>
  </si>
  <si>
    <t>Fresa</t>
  </si>
  <si>
    <t>Gotita</t>
  </si>
  <si>
    <t>ROMBO</t>
  </si>
  <si>
    <t>PATA</t>
  </si>
  <si>
    <t>ESPIGA</t>
  </si>
  <si>
    <t>JASPEADO</t>
  </si>
  <si>
    <t>GOTITA</t>
  </si>
  <si>
    <t>Total</t>
  </si>
  <si>
    <t>ventas</t>
  </si>
  <si>
    <t>Medio resorte 05</t>
  </si>
  <si>
    <t xml:space="preserve">Gris </t>
  </si>
  <si>
    <t>Liso</t>
  </si>
  <si>
    <t>Mariachi*</t>
  </si>
  <si>
    <t>Tiro corto</t>
  </si>
  <si>
    <t>LISO</t>
  </si>
  <si>
    <t>MRIACHI</t>
  </si>
  <si>
    <t>JUVENIL</t>
  </si>
  <si>
    <t>VINO</t>
  </si>
  <si>
    <t>CH</t>
  </si>
  <si>
    <t>M</t>
  </si>
  <si>
    <t>G</t>
  </si>
  <si>
    <t>XL</t>
  </si>
  <si>
    <t>Monserrat</t>
  </si>
  <si>
    <t>Gris perla</t>
  </si>
  <si>
    <t>Plomo</t>
  </si>
  <si>
    <t>Pizarra</t>
  </si>
  <si>
    <t>Gris rata</t>
  </si>
  <si>
    <t xml:space="preserve">Cemento </t>
  </si>
  <si>
    <t>Pino</t>
  </si>
  <si>
    <t>Camote</t>
  </si>
  <si>
    <t>Salmón</t>
  </si>
  <si>
    <t>fucsia/bugmbilia</t>
  </si>
  <si>
    <t>lila</t>
  </si>
  <si>
    <t>Terracota</t>
  </si>
  <si>
    <t>Teja</t>
  </si>
  <si>
    <t>Chocolate</t>
  </si>
  <si>
    <t>Oveja</t>
  </si>
  <si>
    <t>Oveja Jaspe</t>
  </si>
  <si>
    <t>Janneth</t>
  </si>
  <si>
    <t>PANTALON</t>
  </si>
  <si>
    <t>RESORTE CORINTIO</t>
  </si>
  <si>
    <t>RESORTE</t>
  </si>
  <si>
    <t>Plumbago</t>
  </si>
  <si>
    <t>Olivo</t>
  </si>
  <si>
    <t>uva</t>
  </si>
  <si>
    <t>Zarzamora</t>
  </si>
  <si>
    <t xml:space="preserve">Vino </t>
  </si>
  <si>
    <t>Caqui</t>
  </si>
  <si>
    <t>NEGRO</t>
  </si>
  <si>
    <t>GRIS</t>
  </si>
  <si>
    <t>MARINO</t>
  </si>
  <si>
    <t>CAFE</t>
  </si>
  <si>
    <t>REY</t>
  </si>
  <si>
    <t>ROJO</t>
  </si>
  <si>
    <t>NARANJA</t>
  </si>
  <si>
    <t>BLANCO</t>
  </si>
  <si>
    <t>KELLY</t>
  </si>
  <si>
    <t>CIELO</t>
  </si>
  <si>
    <t xml:space="preserve">UVA </t>
  </si>
  <si>
    <t>ROSA</t>
  </si>
  <si>
    <t>SUPER PONTY</t>
  </si>
  <si>
    <t>CAMEL</t>
  </si>
  <si>
    <t>FECHA:_________</t>
  </si>
  <si>
    <t>INVENTARIO DE__________________________</t>
  </si>
  <si>
    <t>PROVEEDOR_______________________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</si>
</sst>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\$* #,##0.00_-;\-\$* #,##0.00_-;_-\$* &quot;-&quot;??_-;_-@_-"/>
    <numFmt numFmtId="177" formatCode="_-\$* #,##0_-;\-\$* #,##0_-;_-\$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/>
    </xf>
    <xf numFmtId="0" fontId="0" fillId="2" borderId="0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NumberFormat="1" applyBorder="1">
      <alignment vertical="center"/>
    </xf>
    <xf numFmtId="0" fontId="0" fillId="0" borderId="1" xfId="0" applyNumberFormat="1" applyBorder="1">
      <alignment vertical="center"/>
    </xf>
    <xf numFmtId="0" fontId="0" fillId="0" borderId="0" xfId="0" applyNumberFormat="1">
      <alignment vertical="center"/>
    </xf>
    <xf numFmtId="0" fontId="1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0" fillId="3" borderId="0" xfId="0" applyFill="1" applyBorder="1">
      <alignment vertical="center"/>
    </xf>
    <xf numFmtId="0" fontId="2" fillId="0" borderId="0" xfId="0" applyFont="1" applyFill="1" applyBorder="1">
      <alignment vertical="center"/>
    </xf>
    <xf numFmtId="0" fontId="0" fillId="4" borderId="0" xfId="0" applyFill="1" applyBorder="1">
      <alignment vertical="center"/>
    </xf>
    <xf numFmtId="0" fontId="0" fillId="5" borderId="0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48536"/>
  <sheetViews>
    <sheetView workbookViewId="0">
      <selection activeCell="H5" sqref="H5"/>
    </sheetView>
  </sheetViews>
  <sheetFormatPr defaultColWidth="9.14285714285714" defaultRowHeight="15" outlineLevelCol="6"/>
  <cols>
    <col min="1" max="1" width="4.14285714285714" style="4" customWidth="1"/>
    <col min="2" max="2" width="15.1428571428571" style="4" customWidth="1"/>
    <col min="3" max="3" width="15.5714285714286" style="4" customWidth="1"/>
    <col min="4" max="4" width="22" style="4" customWidth="1"/>
    <col min="5" max="5" width="12.4285714285714" style="4" customWidth="1"/>
    <col min="6" max="16384" width="9.14285714285714" style="4"/>
  </cols>
  <sheetData>
    <row r="1" s="4" customForma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</v>
      </c>
    </row>
    <row r="2" s="4" customFormat="1" spans="1:7">
      <c r="A2" s="3">
        <v>1</v>
      </c>
      <c r="B2" s="3" t="s">
        <v>5</v>
      </c>
      <c r="C2" s="3" t="s">
        <v>6</v>
      </c>
      <c r="D2" s="3" t="s">
        <v>7</v>
      </c>
      <c r="E2" s="3">
        <f>'493-01'!AF59</f>
        <v>1353</v>
      </c>
      <c r="F2" s="3">
        <f t="shared" ref="F2:F9" si="0">SUM(E2:E2)</f>
        <v>1353</v>
      </c>
    </row>
    <row r="3" s="4" customFormat="1" spans="1:7">
      <c r="A3" s="3">
        <v>2</v>
      </c>
      <c r="B3" s="3" t="s">
        <v>5</v>
      </c>
      <c r="C3" s="3" t="s">
        <v>8</v>
      </c>
      <c r="D3" s="3" t="s">
        <v>9</v>
      </c>
      <c r="E3" s="3">
        <f>'493-02'!O57</f>
        <v>252</v>
      </c>
      <c r="F3" s="3">
        <f t="shared" si="0"/>
        <v>252</v>
      </c>
    </row>
    <row r="4" s="4" customFormat="1" spans="1:7">
      <c r="A4" s="3">
        <v>3</v>
      </c>
      <c r="B4" s="3" t="s">
        <v>5</v>
      </c>
      <c r="C4" s="3" t="s">
        <v>10</v>
      </c>
      <c r="D4" s="3" t="s">
        <v>11</v>
      </c>
      <c r="E4" s="3">
        <f>'493-03'!N57</f>
        <v>318</v>
      </c>
      <c r="F4" s="3">
        <f t="shared" si="0"/>
        <v>318</v>
      </c>
    </row>
    <row r="5" s="4" customFormat="1" spans="1:7">
      <c r="A5" s="3">
        <v>4</v>
      </c>
      <c r="B5" s="3" t="s">
        <v>5</v>
      </c>
      <c r="C5" s="3" t="s">
        <v>12</v>
      </c>
      <c r="D5" s="3" t="s">
        <v>13</v>
      </c>
      <c r="E5" s="3">
        <f>'ELEGANCE-04'!P20</f>
        <v>88</v>
      </c>
      <c r="F5" s="3">
        <f t="shared" si="0"/>
        <v>88</v>
      </c>
    </row>
    <row r="6" s="4" customFormat="1" spans="1:7">
      <c r="A6" s="3">
        <v>5</v>
      </c>
      <c r="B6" s="3" t="s">
        <v>5</v>
      </c>
      <c r="C6" s="3" t="s">
        <v>14</v>
      </c>
      <c r="D6" s="3" t="s">
        <v>15</v>
      </c>
      <c r="E6" s="3">
        <f>'ELEGANCE-05'!P13</f>
        <v>78</v>
      </c>
      <c r="F6" s="3">
        <f t="shared" si="0"/>
        <v>78</v>
      </c>
    </row>
    <row r="7" s="4" customFormat="1" spans="1:7">
      <c r="A7" s="3">
        <v>6</v>
      </c>
      <c r="B7" s="3" t="s">
        <v>5</v>
      </c>
      <c r="C7" s="3">
        <v>2025</v>
      </c>
      <c r="D7" s="4" t="s">
        <v>16</v>
      </c>
      <c r="E7" s="3">
        <f>'2025'!O8</f>
        <v>67</v>
      </c>
      <c r="F7" s="3">
        <f t="shared" si="0"/>
        <v>67</v>
      </c>
    </row>
    <row r="8" s="4" customFormat="1" spans="1:7">
      <c r="A8" s="3">
        <v>7</v>
      </c>
      <c r="B8" s="5" t="s">
        <v>17</v>
      </c>
      <c r="C8" s="5">
        <v>7003</v>
      </c>
      <c r="D8" s="3" t="s">
        <v>18</v>
      </c>
      <c r="E8" s="3">
        <f>'7003'!I37</f>
        <v>326</v>
      </c>
      <c r="F8" s="3">
        <f t="shared" si="0"/>
        <v>326</v>
      </c>
    </row>
    <row r="9" s="4" customFormat="1" spans="1:7">
      <c r="A9" s="25">
        <v>8</v>
      </c>
      <c r="B9" s="25" t="s">
        <v>19</v>
      </c>
      <c r="C9" s="25" t="s">
        <v>19</v>
      </c>
      <c r="D9" s="25" t="s">
        <v>20</v>
      </c>
      <c r="E9" s="25">
        <f>'JANET Pretina 06'!K26</f>
        <v>518</v>
      </c>
      <c r="F9" s="25">
        <f t="shared" si="0"/>
        <v>518</v>
      </c>
      <c r="G9" s="26">
        <f>SUM(F2:F9)</f>
        <v>3000</v>
      </c>
    </row>
    <row r="10" s="1" customFormat="1" spans="1:7">
      <c r="A10" s="3">
        <v>9</v>
      </c>
      <c r="B10" s="3" t="s">
        <v>5</v>
      </c>
      <c r="C10" s="3"/>
      <c r="D10" s="3" t="s">
        <v>21</v>
      </c>
      <c r="E10" s="3">
        <f>CAPRI!O12</f>
        <v>55</v>
      </c>
      <c r="F10" s="3">
        <f t="shared" ref="F10:F15" si="1">E10</f>
        <v>55</v>
      </c>
    </row>
    <row r="11" s="1" customFormat="1" spans="1:7">
      <c r="A11" s="25">
        <v>10</v>
      </c>
      <c r="B11" s="25" t="s">
        <v>19</v>
      </c>
      <c r="C11" s="25"/>
      <c r="D11" s="25" t="s">
        <v>21</v>
      </c>
      <c r="E11" s="25">
        <f>CAPRI!O14</f>
        <v>7</v>
      </c>
      <c r="F11" s="25">
        <f t="shared" si="1"/>
        <v>7</v>
      </c>
      <c r="G11" s="27">
        <f>E10+E11</f>
        <v>62</v>
      </c>
    </row>
    <row r="12" s="1" customFormat="1" spans="1:7">
      <c r="A12" s="3">
        <v>11</v>
      </c>
      <c r="B12" s="5" t="s">
        <v>5</v>
      </c>
      <c r="C12" s="5"/>
      <c r="D12" s="3" t="s">
        <v>22</v>
      </c>
      <c r="E12" s="3">
        <f>MAYON!O4</f>
        <v>28</v>
      </c>
      <c r="F12" s="3">
        <f t="shared" si="1"/>
        <v>28</v>
      </c>
    </row>
    <row r="13" s="1" customFormat="1" spans="1:7">
      <c r="A13" s="3">
        <v>12</v>
      </c>
      <c r="B13" s="5" t="s">
        <v>23</v>
      </c>
      <c r="C13" s="5">
        <v>817</v>
      </c>
      <c r="D13" s="3" t="s">
        <v>22</v>
      </c>
      <c r="E13" s="3">
        <f>MAYON!O7</f>
        <v>99</v>
      </c>
      <c r="F13" s="3">
        <f t="shared" si="1"/>
        <v>99</v>
      </c>
    </row>
    <row r="14" s="1" customFormat="1" spans="1:7">
      <c r="A14" s="3">
        <v>13</v>
      </c>
      <c r="B14" s="5" t="s">
        <v>23</v>
      </c>
      <c r="C14" s="5">
        <v>807</v>
      </c>
      <c r="D14" s="3" t="s">
        <v>22</v>
      </c>
      <c r="E14" s="3">
        <f>MAYON!O10</f>
        <v>48</v>
      </c>
      <c r="F14" s="3">
        <f t="shared" si="1"/>
        <v>48</v>
      </c>
    </row>
    <row r="15" s="1" customFormat="1" spans="1:7">
      <c r="A15" s="25">
        <v>14</v>
      </c>
      <c r="B15" s="25" t="s">
        <v>24</v>
      </c>
      <c r="C15" s="25"/>
      <c r="D15" s="25" t="s">
        <v>22</v>
      </c>
      <c r="E15" s="25">
        <f>MAYON!O11</f>
        <v>1</v>
      </c>
      <c r="F15" s="25">
        <f t="shared" si="1"/>
        <v>1</v>
      </c>
      <c r="G15" s="27">
        <f>F12+F13+F14+F15</f>
        <v>176</v>
      </c>
    </row>
    <row r="16" s="1" customFormat="1" spans="1:7">
      <c r="A16" s="3"/>
      <c r="B16" s="5"/>
      <c r="C16" s="5"/>
      <c r="D16" s="3"/>
      <c r="E16" s="3"/>
      <c r="F16" s="3"/>
    </row>
    <row r="17" s="1" customFormat="1" spans="1:6">
      <c r="A17" s="3"/>
      <c r="B17" s="5"/>
      <c r="C17" s="5"/>
      <c r="D17" s="3"/>
      <c r="E17" s="3"/>
      <c r="F17" s="3"/>
    </row>
    <row r="18" s="1" customFormat="1" spans="1:6">
      <c r="A18" s="3"/>
      <c r="B18" s="5"/>
      <c r="C18" s="5"/>
      <c r="D18" s="3"/>
      <c r="E18" s="3"/>
      <c r="F18" s="3"/>
    </row>
    <row r="19" s="1" customFormat="1" spans="1:6">
      <c r="A19" s="3"/>
      <c r="B19" s="5"/>
      <c r="C19" s="5"/>
      <c r="D19" s="3"/>
      <c r="E19" s="3"/>
      <c r="F19" s="3"/>
    </row>
    <row r="20" s="1" customFormat="1" spans="1:6">
      <c r="A20" s="3"/>
      <c r="B20" s="5"/>
      <c r="C20" s="5"/>
      <c r="D20" s="3"/>
      <c r="E20" s="3"/>
      <c r="F20" s="3"/>
    </row>
    <row r="21" spans="1:6">
      <c r="A21" s="3"/>
      <c r="B21" s="3"/>
      <c r="C21" s="3"/>
      <c r="D21" s="3"/>
      <c r="E21" s="28">
        <f>SUM(E2:E20)</f>
        <v>3238</v>
      </c>
      <c r="F21" s="3"/>
    </row>
    <row r="1048520" s="1" customFormat="1"/>
    <row r="1048521" s="1" customFormat="1"/>
    <row r="1048522" s="1" customFormat="1"/>
    <row r="1048523" s="1" customFormat="1"/>
    <row r="1048524" s="1" customFormat="1"/>
    <row r="1048525" s="1" customFormat="1"/>
    <row r="1048526" s="1" customFormat="1"/>
    <row r="1048527" s="1" customFormat="1"/>
    <row r="1048528" s="1" customFormat="1"/>
    <row r="1048529" s="1" customFormat="1"/>
    <row r="1048530" s="1" customFormat="1"/>
    <row r="1048531" s="1" customFormat="1"/>
    <row r="1048532" s="1" customFormat="1"/>
    <row r="1048533" s="1" customFormat="1"/>
    <row r="1048534" s="1" customFormat="1"/>
    <row r="1048535" s="1" customFormat="1"/>
    <row r="1048536" s="1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59"/>
  <sheetViews>
    <sheetView topLeftCell="P1" workbookViewId="0">
      <pane ySplit="1" topLeftCell="A50" activePane="bottomLeft" state="frozen"/>
      <selection/>
      <selection pane="bottomLeft" activeCell="AG70" sqref="AG70"/>
    </sheetView>
  </sheetViews>
  <sheetFormatPr defaultColWidth="9.14285714285714" defaultRowHeight="15"/>
  <cols>
    <col min="1" max="1" width="13.2857142857143" style="8" customWidth="1"/>
    <col min="2" max="2" width="23.4285714285714" style="8" customWidth="1"/>
    <col min="3" max="3" width="16.4285714285714" style="8" customWidth="1"/>
    <col min="4" max="4" width="17" style="8" customWidth="1"/>
    <col min="5" max="5" width="10.2857142857143" style="19" customWidth="1"/>
    <col min="6" max="6" width="10.2857142857143" style="22" customWidth="1"/>
    <col min="7" max="7" width="10.2857142857143" style="23" customWidth="1"/>
    <col min="8" max="8" width="7.71428571428571" style="19" customWidth="1"/>
    <col min="9" max="9" width="7.71428571428571" style="22" customWidth="1"/>
    <col min="10" max="10" width="10.2857142857143" style="23" customWidth="1"/>
    <col min="11" max="11" width="8.85714285714286" style="19" customWidth="1"/>
    <col min="12" max="12" width="8.85714285714286" style="22" customWidth="1"/>
    <col min="13" max="13" width="10.2857142857143" style="23" customWidth="1"/>
    <col min="14" max="14" width="9.14285714285714" style="19"/>
    <col min="15" max="15" width="9.14285714285714" style="22"/>
    <col min="16" max="16" width="10.2857142857143" style="23" customWidth="1"/>
    <col min="17" max="17" width="9.14285714285714" style="19"/>
    <col min="18" max="18" width="9.14285714285714" style="22"/>
    <col min="19" max="19" width="10.2857142857143" style="23" customWidth="1"/>
    <col min="20" max="20" width="9.14285714285714" style="19"/>
    <col min="21" max="21" width="9.14285714285714" style="22"/>
    <col min="22" max="22" width="10.2857142857143" style="23" customWidth="1"/>
    <col min="23" max="23" width="9.14285714285714" style="19"/>
    <col min="24" max="24" width="9.14285714285714" style="22"/>
    <col min="25" max="25" width="10.2857142857143" style="23" customWidth="1"/>
    <col min="26" max="26" width="9.14285714285714" style="19"/>
    <col min="27" max="27" width="9.14285714285714" style="22"/>
    <col min="28" max="28" width="10.2857142857143" style="23" customWidth="1"/>
    <col min="29" max="29" width="9.14285714285714" style="19"/>
    <col min="30" max="30" width="9.14285714285714" style="22"/>
    <col min="31" max="31" width="10.2857142857143" style="23" customWidth="1"/>
    <col min="32" max="32" width="11.4285714285714" style="4" customWidth="1"/>
    <col min="33" max="33" width="9.14285714285714" style="22"/>
    <col min="34" max="34" width="10.2857142857143" style="23" customWidth="1"/>
    <col min="35" max="16384" width="9.14285714285714" style="8"/>
  </cols>
  <sheetData>
    <row r="1" s="8" customFormat="1" spans="1:34">
      <c r="A1" s="3" t="s">
        <v>1</v>
      </c>
      <c r="B1" s="3" t="s">
        <v>2</v>
      </c>
      <c r="C1" s="3" t="s">
        <v>3</v>
      </c>
      <c r="D1" s="3" t="s">
        <v>25</v>
      </c>
      <c r="E1" s="5">
        <v>28</v>
      </c>
      <c r="F1" s="24" t="s">
        <v>26</v>
      </c>
      <c r="G1" s="25" t="s">
        <v>27</v>
      </c>
      <c r="H1" s="5">
        <v>30</v>
      </c>
      <c r="I1" s="24" t="s">
        <v>26</v>
      </c>
      <c r="J1" s="25" t="s">
        <v>27</v>
      </c>
      <c r="K1" s="5">
        <v>32</v>
      </c>
      <c r="L1" s="24" t="s">
        <v>26</v>
      </c>
      <c r="M1" s="25" t="s">
        <v>27</v>
      </c>
      <c r="N1" s="5">
        <v>34</v>
      </c>
      <c r="O1" s="24" t="s">
        <v>26</v>
      </c>
      <c r="P1" s="25" t="s">
        <v>27</v>
      </c>
      <c r="Q1" s="5">
        <v>36</v>
      </c>
      <c r="R1" s="24" t="s">
        <v>26</v>
      </c>
      <c r="S1" s="25" t="s">
        <v>27</v>
      </c>
      <c r="T1" s="5">
        <v>38</v>
      </c>
      <c r="U1" s="24" t="s">
        <v>26</v>
      </c>
      <c r="V1" s="25" t="s">
        <v>27</v>
      </c>
      <c r="W1" s="5">
        <v>40</v>
      </c>
      <c r="X1" s="24" t="s">
        <v>26</v>
      </c>
      <c r="Y1" s="25" t="s">
        <v>27</v>
      </c>
      <c r="Z1" s="5">
        <v>42</v>
      </c>
      <c r="AA1" s="24" t="s">
        <v>26</v>
      </c>
      <c r="AB1" s="25" t="s">
        <v>27</v>
      </c>
      <c r="AC1" s="5">
        <v>44</v>
      </c>
      <c r="AD1" s="24" t="s">
        <v>26</v>
      </c>
      <c r="AE1" s="25" t="s">
        <v>27</v>
      </c>
      <c r="AF1" s="3" t="s">
        <v>4</v>
      </c>
      <c r="AG1" s="24" t="s">
        <v>28</v>
      </c>
      <c r="AH1" s="25" t="s">
        <v>27</v>
      </c>
    </row>
    <row r="2" s="8" customFormat="1" spans="1:34">
      <c r="A2" s="3" t="s">
        <v>29</v>
      </c>
      <c r="B2" s="5" t="s">
        <v>6</v>
      </c>
      <c r="C2" s="3" t="s">
        <v>30</v>
      </c>
      <c r="D2" s="3" t="s">
        <v>31</v>
      </c>
      <c r="E2" s="5">
        <v>1</v>
      </c>
      <c r="F2" s="24"/>
      <c r="G2" s="25">
        <f t="shared" ref="G2:G58" si="0">E2-F2</f>
        <v>1</v>
      </c>
      <c r="H2" s="5">
        <v>8</v>
      </c>
      <c r="I2" s="24"/>
      <c r="J2" s="25">
        <f>H2-I2</f>
        <v>8</v>
      </c>
      <c r="K2" s="5">
        <v>10</v>
      </c>
      <c r="L2" s="24"/>
      <c r="M2" s="25">
        <f>K2-L2</f>
        <v>10</v>
      </c>
      <c r="N2" s="5">
        <v>13</v>
      </c>
      <c r="O2" s="24"/>
      <c r="P2" s="25">
        <f>N2-O2</f>
        <v>13</v>
      </c>
      <c r="Q2" s="5">
        <v>12</v>
      </c>
      <c r="R2" s="24"/>
      <c r="S2" s="25">
        <f>Q2-R2</f>
        <v>12</v>
      </c>
      <c r="T2" s="5">
        <v>6</v>
      </c>
      <c r="U2" s="24"/>
      <c r="V2" s="25">
        <f>T2-U2</f>
        <v>6</v>
      </c>
      <c r="W2" s="5">
        <v>3</v>
      </c>
      <c r="X2" s="24"/>
      <c r="Y2" s="25">
        <f>W2-X2</f>
        <v>3</v>
      </c>
      <c r="Z2" s="5">
        <v>1</v>
      </c>
      <c r="AA2" s="24"/>
      <c r="AB2" s="25">
        <f>Z2-AA2</f>
        <v>1</v>
      </c>
      <c r="AC2" s="5">
        <v>0</v>
      </c>
      <c r="AD2" s="24"/>
      <c r="AE2" s="25">
        <f>AC2-AD2</f>
        <v>0</v>
      </c>
      <c r="AF2" s="3">
        <f t="shared" ref="AF2:AF58" si="1">SUM(E2:AC2)</f>
        <v>108</v>
      </c>
      <c r="AG2" s="24">
        <f t="shared" ref="AG2:AG58" si="2">F2+I2+L2+O2+R2+U2+X2+AA2+AD2</f>
        <v>0</v>
      </c>
      <c r="AH2" s="25">
        <f>AF2-AG2</f>
        <v>108</v>
      </c>
    </row>
    <row r="3" s="8" customFormat="1" spans="1:34">
      <c r="A3" s="3" t="s">
        <v>29</v>
      </c>
      <c r="B3" s="5" t="s">
        <v>6</v>
      </c>
      <c r="C3" s="3" t="s">
        <v>30</v>
      </c>
      <c r="D3" s="3" t="s">
        <v>32</v>
      </c>
      <c r="E3" s="5">
        <v>5</v>
      </c>
      <c r="F3" s="24"/>
      <c r="G3" s="25">
        <f t="shared" si="0"/>
        <v>5</v>
      </c>
      <c r="H3" s="5">
        <v>2</v>
      </c>
      <c r="I3" s="24"/>
      <c r="J3" s="25">
        <f t="shared" ref="J3:J58" si="3">H3-I3</f>
        <v>2</v>
      </c>
      <c r="K3" s="5">
        <v>3</v>
      </c>
      <c r="L3" s="24"/>
      <c r="M3" s="25">
        <f t="shared" ref="M3:M58" si="4">K3-L3</f>
        <v>3</v>
      </c>
      <c r="N3" s="5">
        <v>3</v>
      </c>
      <c r="O3" s="24"/>
      <c r="P3" s="25">
        <f t="shared" ref="P3:P59" si="5">N3-O3</f>
        <v>3</v>
      </c>
      <c r="Q3" s="5">
        <v>5</v>
      </c>
      <c r="R3" s="24"/>
      <c r="S3" s="25">
        <f t="shared" ref="S3:S59" si="6">Q3-R3</f>
        <v>5</v>
      </c>
      <c r="T3" s="5">
        <v>3</v>
      </c>
      <c r="U3" s="24"/>
      <c r="V3" s="25">
        <f t="shared" ref="V3:V59" si="7">T3-U3</f>
        <v>3</v>
      </c>
      <c r="W3" s="5">
        <v>1</v>
      </c>
      <c r="X3" s="24"/>
      <c r="Y3" s="25">
        <f t="shared" ref="Y3:Y59" si="8">W3-X3</f>
        <v>1</v>
      </c>
      <c r="Z3" s="5">
        <v>0</v>
      </c>
      <c r="AA3" s="24"/>
      <c r="AB3" s="25">
        <f t="shared" ref="AB3:AB59" si="9">Z3-AA3</f>
        <v>0</v>
      </c>
      <c r="AC3" s="5">
        <v>0</v>
      </c>
      <c r="AD3" s="24"/>
      <c r="AE3" s="25">
        <f t="shared" ref="AE3:AE59" si="10">AC3-AD3</f>
        <v>0</v>
      </c>
      <c r="AF3" s="3">
        <f t="shared" si="1"/>
        <v>44</v>
      </c>
      <c r="AG3" s="24">
        <f t="shared" si="2"/>
        <v>0</v>
      </c>
      <c r="AH3" s="25">
        <f t="shared" ref="AH3:AH59" si="11">AF3-AG3</f>
        <v>44</v>
      </c>
    </row>
    <row r="4" s="8" customFormat="1" spans="1:34">
      <c r="A4" s="3" t="s">
        <v>29</v>
      </c>
      <c r="B4" s="5" t="s">
        <v>6</v>
      </c>
      <c r="C4" s="3" t="s">
        <v>30</v>
      </c>
      <c r="D4" s="3" t="s">
        <v>33</v>
      </c>
      <c r="E4" s="5">
        <v>5</v>
      </c>
      <c r="F4" s="24"/>
      <c r="G4" s="25">
        <f t="shared" si="0"/>
        <v>5</v>
      </c>
      <c r="H4" s="5">
        <v>4</v>
      </c>
      <c r="I4" s="24"/>
      <c r="J4" s="25">
        <f t="shared" si="3"/>
        <v>4</v>
      </c>
      <c r="K4" s="5">
        <v>5</v>
      </c>
      <c r="L4" s="24"/>
      <c r="M4" s="25">
        <f t="shared" si="4"/>
        <v>5</v>
      </c>
      <c r="N4" s="5">
        <v>6</v>
      </c>
      <c r="O4" s="24"/>
      <c r="P4" s="25">
        <f t="shared" si="5"/>
        <v>6</v>
      </c>
      <c r="Q4" s="5">
        <v>3</v>
      </c>
      <c r="R4" s="24"/>
      <c r="S4" s="25">
        <f t="shared" si="6"/>
        <v>3</v>
      </c>
      <c r="T4" s="5">
        <v>2</v>
      </c>
      <c r="U4" s="24"/>
      <c r="V4" s="25">
        <f t="shared" si="7"/>
        <v>2</v>
      </c>
      <c r="W4" s="5">
        <v>1</v>
      </c>
      <c r="X4" s="24"/>
      <c r="Y4" s="25">
        <f t="shared" si="8"/>
        <v>1</v>
      </c>
      <c r="Z4" s="5">
        <v>2</v>
      </c>
      <c r="AA4" s="24"/>
      <c r="AB4" s="25">
        <f t="shared" si="9"/>
        <v>2</v>
      </c>
      <c r="AC4" s="5">
        <v>0</v>
      </c>
      <c r="AD4" s="24"/>
      <c r="AE4" s="25">
        <f t="shared" si="10"/>
        <v>0</v>
      </c>
      <c r="AF4" s="3">
        <f t="shared" si="1"/>
        <v>56</v>
      </c>
      <c r="AG4" s="24">
        <f t="shared" si="2"/>
        <v>0</v>
      </c>
      <c r="AH4" s="25">
        <f t="shared" si="11"/>
        <v>56</v>
      </c>
    </row>
    <row r="5" s="8" customFormat="1" spans="1:34">
      <c r="A5" s="3" t="s">
        <v>29</v>
      </c>
      <c r="B5" s="5" t="s">
        <v>6</v>
      </c>
      <c r="C5" s="3" t="s">
        <v>30</v>
      </c>
      <c r="D5" s="3" t="s">
        <v>34</v>
      </c>
      <c r="E5" s="5">
        <v>3</v>
      </c>
      <c r="F5" s="24"/>
      <c r="G5" s="25">
        <f t="shared" si="0"/>
        <v>3</v>
      </c>
      <c r="H5" s="5">
        <v>12</v>
      </c>
      <c r="I5" s="24"/>
      <c r="J5" s="25">
        <f t="shared" si="3"/>
        <v>12</v>
      </c>
      <c r="K5" s="5">
        <v>13</v>
      </c>
      <c r="L5" s="24"/>
      <c r="M5" s="25">
        <f t="shared" si="4"/>
        <v>13</v>
      </c>
      <c r="N5" s="5">
        <v>11</v>
      </c>
      <c r="O5" s="24"/>
      <c r="P5" s="25">
        <f t="shared" si="5"/>
        <v>11</v>
      </c>
      <c r="Q5" s="5">
        <v>12</v>
      </c>
      <c r="R5" s="24"/>
      <c r="S5" s="25">
        <f t="shared" si="6"/>
        <v>12</v>
      </c>
      <c r="T5" s="5">
        <v>6</v>
      </c>
      <c r="U5" s="24"/>
      <c r="V5" s="25">
        <f t="shared" si="7"/>
        <v>6</v>
      </c>
      <c r="W5" s="5">
        <v>5</v>
      </c>
      <c r="X5" s="24"/>
      <c r="Y5" s="25">
        <f t="shared" si="8"/>
        <v>5</v>
      </c>
      <c r="Z5" s="5">
        <v>3</v>
      </c>
      <c r="AA5" s="24"/>
      <c r="AB5" s="25">
        <f t="shared" si="9"/>
        <v>3</v>
      </c>
      <c r="AC5" s="5">
        <v>0</v>
      </c>
      <c r="AD5" s="24"/>
      <c r="AE5" s="25">
        <f t="shared" si="10"/>
        <v>0</v>
      </c>
      <c r="AF5" s="3">
        <f t="shared" si="1"/>
        <v>130</v>
      </c>
      <c r="AG5" s="24">
        <f t="shared" si="2"/>
        <v>0</v>
      </c>
      <c r="AH5" s="25">
        <f t="shared" si="11"/>
        <v>130</v>
      </c>
    </row>
    <row r="6" s="8" customFormat="1" spans="1:34">
      <c r="A6" s="3" t="s">
        <v>29</v>
      </c>
      <c r="B6" s="5" t="s">
        <v>6</v>
      </c>
      <c r="C6" s="3" t="s">
        <v>30</v>
      </c>
      <c r="D6" s="3" t="s">
        <v>35</v>
      </c>
      <c r="E6" s="5">
        <v>3</v>
      </c>
      <c r="F6" s="24"/>
      <c r="G6" s="25">
        <f t="shared" si="0"/>
        <v>3</v>
      </c>
      <c r="H6" s="5">
        <v>0</v>
      </c>
      <c r="I6" s="24"/>
      <c r="J6" s="25">
        <f t="shared" si="3"/>
        <v>0</v>
      </c>
      <c r="K6" s="5">
        <v>3</v>
      </c>
      <c r="L6" s="24"/>
      <c r="M6" s="25">
        <f t="shared" si="4"/>
        <v>3</v>
      </c>
      <c r="N6" s="5">
        <v>0</v>
      </c>
      <c r="O6" s="24"/>
      <c r="P6" s="25">
        <f t="shared" si="5"/>
        <v>0</v>
      </c>
      <c r="Q6" s="5">
        <v>4</v>
      </c>
      <c r="R6" s="24"/>
      <c r="S6" s="25">
        <f t="shared" si="6"/>
        <v>4</v>
      </c>
      <c r="T6" s="5">
        <v>0</v>
      </c>
      <c r="U6" s="24"/>
      <c r="V6" s="25">
        <f t="shared" si="7"/>
        <v>0</v>
      </c>
      <c r="W6" s="5">
        <v>0</v>
      </c>
      <c r="X6" s="24"/>
      <c r="Y6" s="25">
        <f t="shared" si="8"/>
        <v>0</v>
      </c>
      <c r="Z6" s="5">
        <v>0</v>
      </c>
      <c r="AA6" s="24"/>
      <c r="AB6" s="25">
        <f t="shared" si="9"/>
        <v>0</v>
      </c>
      <c r="AC6" s="5">
        <v>0</v>
      </c>
      <c r="AD6" s="24"/>
      <c r="AE6" s="25">
        <f t="shared" si="10"/>
        <v>0</v>
      </c>
      <c r="AF6" s="3">
        <f t="shared" si="1"/>
        <v>20</v>
      </c>
      <c r="AG6" s="24">
        <f t="shared" si="2"/>
        <v>0</v>
      </c>
      <c r="AH6" s="25">
        <f t="shared" si="11"/>
        <v>20</v>
      </c>
    </row>
    <row r="7" s="8" customFormat="1" spans="1:34">
      <c r="A7" s="3" t="s">
        <v>29</v>
      </c>
      <c r="B7" s="5" t="s">
        <v>6</v>
      </c>
      <c r="C7" s="3" t="s">
        <v>30</v>
      </c>
      <c r="D7" s="3" t="s">
        <v>36</v>
      </c>
      <c r="E7" s="5">
        <v>1</v>
      </c>
      <c r="F7" s="24"/>
      <c r="G7" s="25">
        <f t="shared" si="0"/>
        <v>1</v>
      </c>
      <c r="H7" s="5">
        <v>0</v>
      </c>
      <c r="I7" s="24"/>
      <c r="J7" s="25">
        <f t="shared" si="3"/>
        <v>0</v>
      </c>
      <c r="K7" s="5">
        <v>1</v>
      </c>
      <c r="L7" s="24"/>
      <c r="M7" s="25">
        <f t="shared" si="4"/>
        <v>1</v>
      </c>
      <c r="N7" s="5">
        <v>3</v>
      </c>
      <c r="O7" s="24"/>
      <c r="P7" s="25">
        <f t="shared" si="5"/>
        <v>3</v>
      </c>
      <c r="Q7" s="5">
        <v>0</v>
      </c>
      <c r="R7" s="24"/>
      <c r="S7" s="25">
        <f t="shared" si="6"/>
        <v>0</v>
      </c>
      <c r="T7" s="5">
        <v>0</v>
      </c>
      <c r="U7" s="24"/>
      <c r="V7" s="25">
        <f t="shared" si="7"/>
        <v>0</v>
      </c>
      <c r="W7" s="5">
        <v>0</v>
      </c>
      <c r="X7" s="24"/>
      <c r="Y7" s="25">
        <f t="shared" si="8"/>
        <v>0</v>
      </c>
      <c r="Z7" s="5">
        <v>0</v>
      </c>
      <c r="AA7" s="24"/>
      <c r="AB7" s="25">
        <f t="shared" si="9"/>
        <v>0</v>
      </c>
      <c r="AC7" s="5">
        <v>0</v>
      </c>
      <c r="AD7" s="24"/>
      <c r="AE7" s="25">
        <f t="shared" si="10"/>
        <v>0</v>
      </c>
      <c r="AF7" s="3">
        <f t="shared" si="1"/>
        <v>10</v>
      </c>
      <c r="AG7" s="24">
        <f t="shared" si="2"/>
        <v>0</v>
      </c>
      <c r="AH7" s="25">
        <f t="shared" si="11"/>
        <v>10</v>
      </c>
    </row>
    <row r="8" s="8" customFormat="1" spans="1:34">
      <c r="A8" s="3" t="s">
        <v>29</v>
      </c>
      <c r="B8" s="5" t="s">
        <v>6</v>
      </c>
      <c r="C8" s="3" t="s">
        <v>30</v>
      </c>
      <c r="D8" s="3" t="s">
        <v>37</v>
      </c>
      <c r="E8" s="5">
        <v>1</v>
      </c>
      <c r="F8" s="24"/>
      <c r="G8" s="25">
        <f t="shared" si="0"/>
        <v>1</v>
      </c>
      <c r="H8" s="5">
        <v>1</v>
      </c>
      <c r="I8" s="24"/>
      <c r="J8" s="25">
        <f t="shared" si="3"/>
        <v>1</v>
      </c>
      <c r="K8" s="5">
        <v>2</v>
      </c>
      <c r="L8" s="24"/>
      <c r="M8" s="25">
        <f t="shared" si="4"/>
        <v>2</v>
      </c>
      <c r="N8" s="5">
        <f>1</f>
        <v>1</v>
      </c>
      <c r="O8" s="24">
        <v>1</v>
      </c>
      <c r="P8" s="25">
        <f t="shared" si="5"/>
        <v>0</v>
      </c>
      <c r="Q8" s="5">
        <v>4</v>
      </c>
      <c r="R8" s="24"/>
      <c r="S8" s="25">
        <f t="shared" si="6"/>
        <v>4</v>
      </c>
      <c r="T8" s="5">
        <v>2</v>
      </c>
      <c r="U8" s="24"/>
      <c r="V8" s="25">
        <f t="shared" si="7"/>
        <v>2</v>
      </c>
      <c r="W8" s="5">
        <v>0</v>
      </c>
      <c r="X8" s="24"/>
      <c r="Y8" s="25">
        <f t="shared" si="8"/>
        <v>0</v>
      </c>
      <c r="Z8" s="5">
        <v>0</v>
      </c>
      <c r="AA8" s="24"/>
      <c r="AB8" s="25">
        <f t="shared" si="9"/>
        <v>0</v>
      </c>
      <c r="AC8" s="5">
        <v>0</v>
      </c>
      <c r="AD8" s="24"/>
      <c r="AE8" s="25">
        <f t="shared" si="10"/>
        <v>0</v>
      </c>
      <c r="AF8" s="3">
        <f t="shared" si="1"/>
        <v>22</v>
      </c>
      <c r="AG8" s="24">
        <f t="shared" si="2"/>
        <v>1</v>
      </c>
      <c r="AH8" s="25">
        <f t="shared" si="11"/>
        <v>21</v>
      </c>
    </row>
    <row r="9" s="8" customFormat="1" spans="1:34">
      <c r="A9" s="3" t="s">
        <v>29</v>
      </c>
      <c r="B9" s="5" t="s">
        <v>6</v>
      </c>
      <c r="C9" s="3" t="s">
        <v>30</v>
      </c>
      <c r="D9" s="3" t="s">
        <v>38</v>
      </c>
      <c r="E9" s="5">
        <v>0</v>
      </c>
      <c r="F9" s="24"/>
      <c r="G9" s="25">
        <f t="shared" si="0"/>
        <v>0</v>
      </c>
      <c r="H9" s="5">
        <v>0</v>
      </c>
      <c r="I9" s="24"/>
      <c r="J9" s="25">
        <f t="shared" si="3"/>
        <v>0</v>
      </c>
      <c r="K9" s="5">
        <v>3</v>
      </c>
      <c r="L9" s="24"/>
      <c r="M9" s="25">
        <f t="shared" si="4"/>
        <v>3</v>
      </c>
      <c r="N9" s="5">
        <v>3</v>
      </c>
      <c r="O9" s="24"/>
      <c r="P9" s="25">
        <f t="shared" si="5"/>
        <v>3</v>
      </c>
      <c r="Q9" s="5">
        <v>2</v>
      </c>
      <c r="R9" s="24"/>
      <c r="S9" s="25">
        <f t="shared" si="6"/>
        <v>2</v>
      </c>
      <c r="T9" s="5">
        <v>0</v>
      </c>
      <c r="U9" s="24"/>
      <c r="V9" s="25">
        <f t="shared" si="7"/>
        <v>0</v>
      </c>
      <c r="W9" s="5">
        <v>0</v>
      </c>
      <c r="X9" s="24"/>
      <c r="Y9" s="25">
        <f t="shared" si="8"/>
        <v>0</v>
      </c>
      <c r="Z9" s="5">
        <v>0</v>
      </c>
      <c r="AA9" s="24"/>
      <c r="AB9" s="25">
        <f t="shared" si="9"/>
        <v>0</v>
      </c>
      <c r="AC9" s="5">
        <v>0</v>
      </c>
      <c r="AD9" s="24"/>
      <c r="AE9" s="25">
        <f t="shared" si="10"/>
        <v>0</v>
      </c>
      <c r="AF9" s="3">
        <f t="shared" si="1"/>
        <v>16</v>
      </c>
      <c r="AG9" s="24">
        <f t="shared" si="2"/>
        <v>0</v>
      </c>
      <c r="AH9" s="25">
        <f t="shared" si="11"/>
        <v>16</v>
      </c>
    </row>
    <row r="10" s="8" customFormat="1" spans="1:34">
      <c r="A10" s="3" t="s">
        <v>29</v>
      </c>
      <c r="B10" s="5" t="s">
        <v>6</v>
      </c>
      <c r="C10" s="3" t="s">
        <v>30</v>
      </c>
      <c r="D10" s="3" t="s">
        <v>39</v>
      </c>
      <c r="E10" s="5">
        <v>0</v>
      </c>
      <c r="F10" s="24"/>
      <c r="G10" s="25">
        <f t="shared" si="0"/>
        <v>0</v>
      </c>
      <c r="H10" s="5">
        <v>4</v>
      </c>
      <c r="I10" s="24"/>
      <c r="J10" s="25">
        <f t="shared" si="3"/>
        <v>4</v>
      </c>
      <c r="K10" s="5">
        <v>0</v>
      </c>
      <c r="L10" s="24"/>
      <c r="M10" s="25">
        <f t="shared" si="4"/>
        <v>0</v>
      </c>
      <c r="N10" s="5">
        <v>0</v>
      </c>
      <c r="O10" s="24"/>
      <c r="P10" s="25">
        <f t="shared" si="5"/>
        <v>0</v>
      </c>
      <c r="Q10" s="5">
        <v>0</v>
      </c>
      <c r="R10" s="24"/>
      <c r="S10" s="25">
        <f t="shared" si="6"/>
        <v>0</v>
      </c>
      <c r="T10" s="5">
        <v>0</v>
      </c>
      <c r="U10" s="24"/>
      <c r="V10" s="25">
        <f t="shared" si="7"/>
        <v>0</v>
      </c>
      <c r="W10" s="5">
        <v>0</v>
      </c>
      <c r="X10" s="24"/>
      <c r="Y10" s="25">
        <f t="shared" si="8"/>
        <v>0</v>
      </c>
      <c r="Z10" s="5">
        <v>0</v>
      </c>
      <c r="AA10" s="24"/>
      <c r="AB10" s="25">
        <f t="shared" si="9"/>
        <v>0</v>
      </c>
      <c r="AC10" s="5">
        <v>0</v>
      </c>
      <c r="AD10" s="24"/>
      <c r="AE10" s="25">
        <f t="shared" si="10"/>
        <v>0</v>
      </c>
      <c r="AF10" s="3">
        <f t="shared" si="1"/>
        <v>8</v>
      </c>
      <c r="AG10" s="24">
        <f t="shared" si="2"/>
        <v>0</v>
      </c>
      <c r="AH10" s="25">
        <f t="shared" si="11"/>
        <v>8</v>
      </c>
    </row>
    <row r="11" s="8" customFormat="1" spans="1:34">
      <c r="A11" s="3" t="s">
        <v>29</v>
      </c>
      <c r="B11" s="5" t="s">
        <v>6</v>
      </c>
      <c r="C11" s="3" t="s">
        <v>30</v>
      </c>
      <c r="D11" s="3" t="s">
        <v>40</v>
      </c>
      <c r="E11" s="5">
        <v>0</v>
      </c>
      <c r="F11" s="24"/>
      <c r="G11" s="25">
        <f t="shared" si="0"/>
        <v>0</v>
      </c>
      <c r="H11" s="5">
        <v>3</v>
      </c>
      <c r="I11" s="24"/>
      <c r="J11" s="25">
        <f t="shared" si="3"/>
        <v>3</v>
      </c>
      <c r="K11" s="5">
        <v>1</v>
      </c>
      <c r="L11" s="24"/>
      <c r="M11" s="25">
        <f t="shared" si="4"/>
        <v>1</v>
      </c>
      <c r="N11" s="5">
        <v>0</v>
      </c>
      <c r="O11" s="24"/>
      <c r="P11" s="25">
        <f t="shared" si="5"/>
        <v>0</v>
      </c>
      <c r="Q11" s="5">
        <v>1</v>
      </c>
      <c r="R11" s="24"/>
      <c r="S11" s="25">
        <f t="shared" si="6"/>
        <v>1</v>
      </c>
      <c r="T11" s="5">
        <v>3</v>
      </c>
      <c r="U11" s="24"/>
      <c r="V11" s="25">
        <f t="shared" si="7"/>
        <v>3</v>
      </c>
      <c r="W11" s="5">
        <v>0</v>
      </c>
      <c r="X11" s="24"/>
      <c r="Y11" s="25">
        <f t="shared" si="8"/>
        <v>0</v>
      </c>
      <c r="Z11" s="5">
        <v>0</v>
      </c>
      <c r="AA11" s="24"/>
      <c r="AB11" s="25">
        <f t="shared" si="9"/>
        <v>0</v>
      </c>
      <c r="AC11" s="5">
        <v>0</v>
      </c>
      <c r="AD11" s="24"/>
      <c r="AE11" s="25">
        <f t="shared" si="10"/>
        <v>0</v>
      </c>
      <c r="AF11" s="3">
        <f t="shared" si="1"/>
        <v>16</v>
      </c>
      <c r="AG11" s="24">
        <f t="shared" si="2"/>
        <v>0</v>
      </c>
      <c r="AH11" s="25">
        <f t="shared" si="11"/>
        <v>16</v>
      </c>
    </row>
    <row r="12" s="8" customFormat="1" spans="1:34">
      <c r="A12" s="3" t="s">
        <v>29</v>
      </c>
      <c r="B12" s="5" t="s">
        <v>6</v>
      </c>
      <c r="C12" s="3" t="s">
        <v>30</v>
      </c>
      <c r="D12" s="3" t="s">
        <v>41</v>
      </c>
      <c r="E12" s="5">
        <v>3</v>
      </c>
      <c r="F12" s="24"/>
      <c r="G12" s="25">
        <f t="shared" si="0"/>
        <v>3</v>
      </c>
      <c r="H12" s="5">
        <v>3</v>
      </c>
      <c r="I12" s="24"/>
      <c r="J12" s="25">
        <f t="shared" si="3"/>
        <v>3</v>
      </c>
      <c r="K12" s="5">
        <v>6</v>
      </c>
      <c r="L12" s="24"/>
      <c r="M12" s="25">
        <f t="shared" si="4"/>
        <v>6</v>
      </c>
      <c r="N12" s="5">
        <v>0</v>
      </c>
      <c r="O12" s="24"/>
      <c r="P12" s="25">
        <f t="shared" si="5"/>
        <v>0</v>
      </c>
      <c r="Q12" s="5">
        <v>4</v>
      </c>
      <c r="R12" s="24"/>
      <c r="S12" s="25">
        <f t="shared" si="6"/>
        <v>4</v>
      </c>
      <c r="T12" s="5">
        <v>1</v>
      </c>
      <c r="U12" s="24"/>
      <c r="V12" s="25">
        <f t="shared" si="7"/>
        <v>1</v>
      </c>
      <c r="W12" s="5">
        <v>0</v>
      </c>
      <c r="X12" s="24"/>
      <c r="Y12" s="25">
        <f t="shared" si="8"/>
        <v>0</v>
      </c>
      <c r="Z12" s="5">
        <v>2</v>
      </c>
      <c r="AA12" s="24"/>
      <c r="AB12" s="25">
        <f t="shared" si="9"/>
        <v>2</v>
      </c>
      <c r="AC12" s="5">
        <v>0</v>
      </c>
      <c r="AD12" s="24"/>
      <c r="AE12" s="25">
        <f t="shared" si="10"/>
        <v>0</v>
      </c>
      <c r="AF12" s="3">
        <f t="shared" si="1"/>
        <v>38</v>
      </c>
      <c r="AG12" s="24">
        <f t="shared" si="2"/>
        <v>0</v>
      </c>
      <c r="AH12" s="25">
        <f t="shared" si="11"/>
        <v>38</v>
      </c>
    </row>
    <row r="13" s="8" customFormat="1" spans="1:34">
      <c r="A13" s="3" t="s">
        <v>29</v>
      </c>
      <c r="B13" s="5" t="s">
        <v>6</v>
      </c>
      <c r="C13" s="3" t="s">
        <v>30</v>
      </c>
      <c r="D13" s="3" t="s">
        <v>42</v>
      </c>
      <c r="E13" s="5">
        <v>3</v>
      </c>
      <c r="F13" s="24"/>
      <c r="G13" s="25">
        <f t="shared" si="0"/>
        <v>3</v>
      </c>
      <c r="H13" s="5">
        <v>1</v>
      </c>
      <c r="I13" s="24"/>
      <c r="J13" s="25">
        <f t="shared" si="3"/>
        <v>1</v>
      </c>
      <c r="K13" s="5">
        <v>3</v>
      </c>
      <c r="L13" s="24"/>
      <c r="M13" s="25">
        <f t="shared" si="4"/>
        <v>3</v>
      </c>
      <c r="N13" s="5">
        <v>3</v>
      </c>
      <c r="O13" s="24"/>
      <c r="P13" s="25">
        <f t="shared" si="5"/>
        <v>3</v>
      </c>
      <c r="Q13" s="5">
        <v>3</v>
      </c>
      <c r="R13" s="24"/>
      <c r="S13" s="25">
        <f t="shared" si="6"/>
        <v>3</v>
      </c>
      <c r="T13" s="5">
        <v>2</v>
      </c>
      <c r="U13" s="24"/>
      <c r="V13" s="25">
        <f t="shared" si="7"/>
        <v>2</v>
      </c>
      <c r="W13" s="5">
        <v>0</v>
      </c>
      <c r="X13" s="24"/>
      <c r="Y13" s="25">
        <f t="shared" si="8"/>
        <v>0</v>
      </c>
      <c r="Z13" s="5">
        <v>0</v>
      </c>
      <c r="AA13" s="24"/>
      <c r="AB13" s="25">
        <f t="shared" si="9"/>
        <v>0</v>
      </c>
      <c r="AC13" s="5">
        <v>0</v>
      </c>
      <c r="AD13" s="24"/>
      <c r="AE13" s="25">
        <f t="shared" si="10"/>
        <v>0</v>
      </c>
      <c r="AF13" s="3">
        <f t="shared" si="1"/>
        <v>30</v>
      </c>
      <c r="AG13" s="24">
        <f t="shared" si="2"/>
        <v>0</v>
      </c>
      <c r="AH13" s="25">
        <f t="shared" si="11"/>
        <v>30</v>
      </c>
    </row>
    <row r="14" s="8" customFormat="1" spans="1:34">
      <c r="A14" s="3" t="s">
        <v>29</v>
      </c>
      <c r="B14" s="5" t="s">
        <v>6</v>
      </c>
      <c r="C14" s="3" t="s">
        <v>30</v>
      </c>
      <c r="D14" s="3" t="s">
        <v>43</v>
      </c>
      <c r="E14" s="5">
        <v>1</v>
      </c>
      <c r="F14" s="24"/>
      <c r="G14" s="25">
        <f t="shared" si="0"/>
        <v>1</v>
      </c>
      <c r="H14" s="5">
        <v>1</v>
      </c>
      <c r="I14" s="24"/>
      <c r="J14" s="25">
        <f t="shared" si="3"/>
        <v>1</v>
      </c>
      <c r="K14" s="5">
        <v>1</v>
      </c>
      <c r="L14" s="24"/>
      <c r="M14" s="25">
        <f t="shared" si="4"/>
        <v>1</v>
      </c>
      <c r="N14" s="5">
        <v>3</v>
      </c>
      <c r="O14" s="24"/>
      <c r="P14" s="25">
        <f t="shared" si="5"/>
        <v>3</v>
      </c>
      <c r="Q14" s="5">
        <v>0</v>
      </c>
      <c r="R14" s="24"/>
      <c r="S14" s="25">
        <f t="shared" si="6"/>
        <v>0</v>
      </c>
      <c r="T14" s="5">
        <v>0</v>
      </c>
      <c r="U14" s="24"/>
      <c r="V14" s="25">
        <f t="shared" si="7"/>
        <v>0</v>
      </c>
      <c r="W14" s="5">
        <v>0</v>
      </c>
      <c r="X14" s="24"/>
      <c r="Y14" s="25">
        <f t="shared" si="8"/>
        <v>0</v>
      </c>
      <c r="Z14" s="5">
        <v>0</v>
      </c>
      <c r="AA14" s="24"/>
      <c r="AB14" s="25">
        <f t="shared" si="9"/>
        <v>0</v>
      </c>
      <c r="AC14" s="5">
        <v>0</v>
      </c>
      <c r="AD14" s="24"/>
      <c r="AE14" s="25">
        <f t="shared" si="10"/>
        <v>0</v>
      </c>
      <c r="AF14" s="3">
        <f t="shared" si="1"/>
        <v>12</v>
      </c>
      <c r="AG14" s="24">
        <f t="shared" si="2"/>
        <v>0</v>
      </c>
      <c r="AH14" s="25">
        <f t="shared" si="11"/>
        <v>12</v>
      </c>
    </row>
    <row r="15" s="8" customFormat="1" spans="1:34">
      <c r="A15" s="3" t="s">
        <v>29</v>
      </c>
      <c r="B15" s="5" t="s">
        <v>6</v>
      </c>
      <c r="C15" s="3" t="s">
        <v>30</v>
      </c>
      <c r="D15" s="3" t="s">
        <v>44</v>
      </c>
      <c r="E15" s="5">
        <v>0</v>
      </c>
      <c r="F15" s="24"/>
      <c r="G15" s="25">
        <f t="shared" si="0"/>
        <v>0</v>
      </c>
      <c r="H15" s="5">
        <v>0</v>
      </c>
      <c r="I15" s="24"/>
      <c r="J15" s="25">
        <f t="shared" si="3"/>
        <v>0</v>
      </c>
      <c r="K15" s="5">
        <v>3</v>
      </c>
      <c r="L15" s="24"/>
      <c r="M15" s="25">
        <f t="shared" si="4"/>
        <v>3</v>
      </c>
      <c r="N15" s="5">
        <v>0</v>
      </c>
      <c r="O15" s="24"/>
      <c r="P15" s="25">
        <f t="shared" si="5"/>
        <v>0</v>
      </c>
      <c r="Q15" s="5">
        <v>1</v>
      </c>
      <c r="R15" s="24"/>
      <c r="S15" s="25">
        <f t="shared" si="6"/>
        <v>1</v>
      </c>
      <c r="T15" s="5">
        <v>1</v>
      </c>
      <c r="U15" s="24"/>
      <c r="V15" s="25">
        <f t="shared" si="7"/>
        <v>1</v>
      </c>
      <c r="W15" s="5">
        <v>0</v>
      </c>
      <c r="X15" s="24"/>
      <c r="Y15" s="25">
        <f t="shared" si="8"/>
        <v>0</v>
      </c>
      <c r="Z15" s="5">
        <v>0</v>
      </c>
      <c r="AA15" s="24"/>
      <c r="AB15" s="25">
        <f t="shared" si="9"/>
        <v>0</v>
      </c>
      <c r="AC15" s="5">
        <v>0</v>
      </c>
      <c r="AD15" s="24"/>
      <c r="AE15" s="25">
        <f t="shared" si="10"/>
        <v>0</v>
      </c>
      <c r="AF15" s="3">
        <f t="shared" si="1"/>
        <v>10</v>
      </c>
      <c r="AG15" s="24">
        <f t="shared" si="2"/>
        <v>0</v>
      </c>
      <c r="AH15" s="25">
        <f t="shared" si="11"/>
        <v>10</v>
      </c>
    </row>
    <row r="16" s="8" customFormat="1" spans="1:34">
      <c r="A16" s="3" t="s">
        <v>29</v>
      </c>
      <c r="B16" s="5" t="s">
        <v>6</v>
      </c>
      <c r="C16" s="3" t="s">
        <v>30</v>
      </c>
      <c r="D16" s="3" t="s">
        <v>45</v>
      </c>
      <c r="E16" s="5">
        <v>2</v>
      </c>
      <c r="F16" s="24"/>
      <c r="G16" s="25">
        <f t="shared" si="0"/>
        <v>2</v>
      </c>
      <c r="H16" s="5">
        <v>2</v>
      </c>
      <c r="I16" s="24"/>
      <c r="J16" s="25">
        <f t="shared" si="3"/>
        <v>2</v>
      </c>
      <c r="K16" s="5">
        <v>2</v>
      </c>
      <c r="L16" s="24"/>
      <c r="M16" s="25">
        <f t="shared" si="4"/>
        <v>2</v>
      </c>
      <c r="N16" s="5">
        <v>2</v>
      </c>
      <c r="O16" s="24"/>
      <c r="P16" s="25">
        <f t="shared" si="5"/>
        <v>2</v>
      </c>
      <c r="Q16" s="5">
        <v>1</v>
      </c>
      <c r="R16" s="24"/>
      <c r="S16" s="25">
        <f t="shared" si="6"/>
        <v>1</v>
      </c>
      <c r="T16" s="5">
        <v>1</v>
      </c>
      <c r="U16" s="24"/>
      <c r="V16" s="25">
        <f t="shared" si="7"/>
        <v>1</v>
      </c>
      <c r="W16" s="5">
        <v>0</v>
      </c>
      <c r="X16" s="24"/>
      <c r="Y16" s="25">
        <f t="shared" si="8"/>
        <v>0</v>
      </c>
      <c r="Z16" s="5">
        <v>0</v>
      </c>
      <c r="AA16" s="24"/>
      <c r="AB16" s="25">
        <f t="shared" si="9"/>
        <v>0</v>
      </c>
      <c r="AC16" s="5">
        <v>0</v>
      </c>
      <c r="AD16" s="24"/>
      <c r="AE16" s="25">
        <f t="shared" si="10"/>
        <v>0</v>
      </c>
      <c r="AF16" s="3">
        <f t="shared" si="1"/>
        <v>20</v>
      </c>
      <c r="AG16" s="24">
        <f t="shared" si="2"/>
        <v>0</v>
      </c>
      <c r="AH16" s="25">
        <f t="shared" si="11"/>
        <v>20</v>
      </c>
    </row>
    <row r="17" s="8" customFormat="1" spans="1:34">
      <c r="A17" s="3" t="s">
        <v>29</v>
      </c>
      <c r="B17" s="5" t="s">
        <v>6</v>
      </c>
      <c r="C17" s="3" t="s">
        <v>30</v>
      </c>
      <c r="D17" s="3" t="s">
        <v>46</v>
      </c>
      <c r="E17" s="5">
        <v>0</v>
      </c>
      <c r="F17" s="24"/>
      <c r="G17" s="25">
        <f t="shared" si="0"/>
        <v>0</v>
      </c>
      <c r="H17" s="5">
        <v>2</v>
      </c>
      <c r="I17" s="24"/>
      <c r="J17" s="25">
        <f t="shared" si="3"/>
        <v>2</v>
      </c>
      <c r="K17" s="5">
        <v>3</v>
      </c>
      <c r="L17" s="24"/>
      <c r="M17" s="25">
        <f t="shared" si="4"/>
        <v>3</v>
      </c>
      <c r="N17" s="5">
        <v>4</v>
      </c>
      <c r="O17" s="24"/>
      <c r="P17" s="25">
        <f t="shared" si="5"/>
        <v>4</v>
      </c>
      <c r="Q17" s="5">
        <v>4</v>
      </c>
      <c r="R17" s="24"/>
      <c r="S17" s="25">
        <f t="shared" si="6"/>
        <v>4</v>
      </c>
      <c r="T17" s="5">
        <v>3</v>
      </c>
      <c r="U17" s="24"/>
      <c r="V17" s="25">
        <f t="shared" si="7"/>
        <v>3</v>
      </c>
      <c r="W17" s="5">
        <v>0</v>
      </c>
      <c r="X17" s="24"/>
      <c r="Y17" s="25">
        <f t="shared" si="8"/>
        <v>0</v>
      </c>
      <c r="Z17" s="5">
        <v>0</v>
      </c>
      <c r="AA17" s="24"/>
      <c r="AB17" s="25">
        <f t="shared" si="9"/>
        <v>0</v>
      </c>
      <c r="AC17" s="5">
        <v>0</v>
      </c>
      <c r="AD17" s="24"/>
      <c r="AE17" s="25">
        <f t="shared" si="10"/>
        <v>0</v>
      </c>
      <c r="AF17" s="3">
        <f t="shared" si="1"/>
        <v>32</v>
      </c>
      <c r="AG17" s="24">
        <f t="shared" si="2"/>
        <v>0</v>
      </c>
      <c r="AH17" s="25">
        <f t="shared" si="11"/>
        <v>32</v>
      </c>
    </row>
    <row r="18" s="8" customFormat="1" spans="1:34">
      <c r="A18" s="3" t="s">
        <v>29</v>
      </c>
      <c r="B18" s="5" t="s">
        <v>6</v>
      </c>
      <c r="C18" s="3" t="s">
        <v>30</v>
      </c>
      <c r="D18" s="3" t="s">
        <v>47</v>
      </c>
      <c r="E18" s="5">
        <v>0</v>
      </c>
      <c r="F18" s="24"/>
      <c r="G18" s="25">
        <f t="shared" si="0"/>
        <v>0</v>
      </c>
      <c r="H18" s="5">
        <v>0</v>
      </c>
      <c r="I18" s="24"/>
      <c r="J18" s="25">
        <f t="shared" si="3"/>
        <v>0</v>
      </c>
      <c r="K18" s="5">
        <v>2</v>
      </c>
      <c r="L18" s="24"/>
      <c r="M18" s="25">
        <f t="shared" si="4"/>
        <v>2</v>
      </c>
      <c r="N18" s="5">
        <v>2</v>
      </c>
      <c r="O18" s="24"/>
      <c r="P18" s="25">
        <f t="shared" si="5"/>
        <v>2</v>
      </c>
      <c r="Q18" s="5">
        <v>0</v>
      </c>
      <c r="R18" s="24"/>
      <c r="S18" s="25">
        <f t="shared" si="6"/>
        <v>0</v>
      </c>
      <c r="T18" s="5">
        <v>2</v>
      </c>
      <c r="U18" s="24"/>
      <c r="V18" s="25">
        <f t="shared" si="7"/>
        <v>2</v>
      </c>
      <c r="W18" s="5">
        <v>0</v>
      </c>
      <c r="X18" s="24"/>
      <c r="Y18" s="25">
        <f t="shared" si="8"/>
        <v>0</v>
      </c>
      <c r="Z18" s="5">
        <v>0</v>
      </c>
      <c r="AA18" s="24"/>
      <c r="AB18" s="25">
        <f t="shared" si="9"/>
        <v>0</v>
      </c>
      <c r="AC18" s="5">
        <v>0</v>
      </c>
      <c r="AD18" s="24"/>
      <c r="AE18" s="25">
        <f t="shared" si="10"/>
        <v>0</v>
      </c>
      <c r="AF18" s="3">
        <f t="shared" si="1"/>
        <v>12</v>
      </c>
      <c r="AG18" s="24">
        <f t="shared" si="2"/>
        <v>0</v>
      </c>
      <c r="AH18" s="25">
        <f t="shared" si="11"/>
        <v>12</v>
      </c>
    </row>
    <row r="19" s="8" customFormat="1" spans="1:34">
      <c r="A19" s="3" t="s">
        <v>29</v>
      </c>
      <c r="B19" s="5" t="s">
        <v>6</v>
      </c>
      <c r="C19" s="3" t="s">
        <v>30</v>
      </c>
      <c r="D19" s="3" t="s">
        <v>48</v>
      </c>
      <c r="E19" s="5">
        <v>0</v>
      </c>
      <c r="F19" s="24"/>
      <c r="G19" s="25">
        <f t="shared" si="0"/>
        <v>0</v>
      </c>
      <c r="H19" s="5">
        <v>0</v>
      </c>
      <c r="I19" s="24"/>
      <c r="J19" s="25">
        <f t="shared" si="3"/>
        <v>0</v>
      </c>
      <c r="K19" s="5">
        <v>1</v>
      </c>
      <c r="L19" s="24"/>
      <c r="M19" s="25">
        <f t="shared" si="4"/>
        <v>1</v>
      </c>
      <c r="N19" s="5">
        <v>3</v>
      </c>
      <c r="O19" s="24"/>
      <c r="P19" s="25">
        <f t="shared" si="5"/>
        <v>3</v>
      </c>
      <c r="Q19" s="5">
        <v>0</v>
      </c>
      <c r="R19" s="24"/>
      <c r="S19" s="25">
        <f t="shared" si="6"/>
        <v>0</v>
      </c>
      <c r="T19" s="5">
        <v>2</v>
      </c>
      <c r="U19" s="24"/>
      <c r="V19" s="25">
        <f t="shared" si="7"/>
        <v>2</v>
      </c>
      <c r="W19" s="5">
        <v>0</v>
      </c>
      <c r="X19" s="24"/>
      <c r="Y19" s="25">
        <f t="shared" si="8"/>
        <v>0</v>
      </c>
      <c r="Z19" s="5">
        <v>0</v>
      </c>
      <c r="AA19" s="24"/>
      <c r="AB19" s="25">
        <f t="shared" si="9"/>
        <v>0</v>
      </c>
      <c r="AC19" s="5">
        <v>0</v>
      </c>
      <c r="AD19" s="24"/>
      <c r="AE19" s="25">
        <f t="shared" si="10"/>
        <v>0</v>
      </c>
      <c r="AF19" s="3">
        <f t="shared" si="1"/>
        <v>12</v>
      </c>
      <c r="AG19" s="24">
        <f t="shared" si="2"/>
        <v>0</v>
      </c>
      <c r="AH19" s="25">
        <f t="shared" si="11"/>
        <v>12</v>
      </c>
    </row>
    <row r="20" s="8" customFormat="1" spans="1:34">
      <c r="A20" s="3" t="s">
        <v>29</v>
      </c>
      <c r="B20" s="5" t="s">
        <v>6</v>
      </c>
      <c r="C20" s="3" t="s">
        <v>30</v>
      </c>
      <c r="D20" s="3" t="s">
        <v>49</v>
      </c>
      <c r="E20" s="5">
        <v>0</v>
      </c>
      <c r="F20" s="24"/>
      <c r="G20" s="25">
        <f t="shared" si="0"/>
        <v>0</v>
      </c>
      <c r="H20" s="5">
        <v>0</v>
      </c>
      <c r="I20" s="24"/>
      <c r="J20" s="25">
        <f t="shared" si="3"/>
        <v>0</v>
      </c>
      <c r="K20" s="5">
        <v>2</v>
      </c>
      <c r="L20" s="24"/>
      <c r="M20" s="25">
        <f t="shared" si="4"/>
        <v>2</v>
      </c>
      <c r="N20" s="5">
        <v>3</v>
      </c>
      <c r="O20" s="24"/>
      <c r="P20" s="25">
        <f t="shared" si="5"/>
        <v>3</v>
      </c>
      <c r="Q20" s="5">
        <v>4</v>
      </c>
      <c r="R20" s="24"/>
      <c r="S20" s="25">
        <f t="shared" si="6"/>
        <v>4</v>
      </c>
      <c r="T20" s="5">
        <v>0</v>
      </c>
      <c r="U20" s="24"/>
      <c r="V20" s="25">
        <f t="shared" si="7"/>
        <v>0</v>
      </c>
      <c r="W20" s="5">
        <v>0</v>
      </c>
      <c r="X20" s="24"/>
      <c r="Y20" s="25">
        <f t="shared" si="8"/>
        <v>0</v>
      </c>
      <c r="Z20" s="5">
        <v>0</v>
      </c>
      <c r="AA20" s="24"/>
      <c r="AB20" s="25">
        <f t="shared" si="9"/>
        <v>0</v>
      </c>
      <c r="AC20" s="5">
        <v>0</v>
      </c>
      <c r="AD20" s="24"/>
      <c r="AE20" s="25">
        <f t="shared" si="10"/>
        <v>0</v>
      </c>
      <c r="AF20" s="3">
        <f t="shared" si="1"/>
        <v>18</v>
      </c>
      <c r="AG20" s="24">
        <f t="shared" si="2"/>
        <v>0</v>
      </c>
      <c r="AH20" s="25">
        <f t="shared" si="11"/>
        <v>18</v>
      </c>
    </row>
    <row r="21" s="8" customFormat="1" spans="1:34">
      <c r="A21" s="3" t="s">
        <v>29</v>
      </c>
      <c r="B21" s="5" t="s">
        <v>6</v>
      </c>
      <c r="C21" s="3" t="s">
        <v>30</v>
      </c>
      <c r="D21" s="3" t="s">
        <v>50</v>
      </c>
      <c r="E21" s="5">
        <v>0</v>
      </c>
      <c r="F21" s="24"/>
      <c r="G21" s="25">
        <f t="shared" si="0"/>
        <v>0</v>
      </c>
      <c r="H21" s="5">
        <v>1</v>
      </c>
      <c r="I21" s="24"/>
      <c r="J21" s="25">
        <f t="shared" si="3"/>
        <v>1</v>
      </c>
      <c r="K21" s="5">
        <v>1</v>
      </c>
      <c r="L21" s="24"/>
      <c r="M21" s="25">
        <f t="shared" si="4"/>
        <v>1</v>
      </c>
      <c r="N21" s="5">
        <v>2</v>
      </c>
      <c r="O21" s="24"/>
      <c r="P21" s="25">
        <f t="shared" si="5"/>
        <v>2</v>
      </c>
      <c r="Q21" s="5">
        <v>2</v>
      </c>
      <c r="R21" s="24"/>
      <c r="S21" s="25">
        <f t="shared" si="6"/>
        <v>2</v>
      </c>
      <c r="T21" s="5">
        <v>2</v>
      </c>
      <c r="U21" s="24"/>
      <c r="V21" s="25">
        <f t="shared" si="7"/>
        <v>2</v>
      </c>
      <c r="W21" s="5">
        <v>1</v>
      </c>
      <c r="X21" s="24"/>
      <c r="Y21" s="25">
        <f t="shared" si="8"/>
        <v>1</v>
      </c>
      <c r="Z21" s="5">
        <v>0</v>
      </c>
      <c r="AA21" s="24"/>
      <c r="AB21" s="25">
        <f t="shared" si="9"/>
        <v>0</v>
      </c>
      <c r="AC21" s="5">
        <v>0</v>
      </c>
      <c r="AD21" s="24"/>
      <c r="AE21" s="25">
        <f t="shared" si="10"/>
        <v>0</v>
      </c>
      <c r="AF21" s="3">
        <f t="shared" si="1"/>
        <v>18</v>
      </c>
      <c r="AG21" s="24">
        <f t="shared" si="2"/>
        <v>0</v>
      </c>
      <c r="AH21" s="25">
        <f t="shared" si="11"/>
        <v>18</v>
      </c>
    </row>
    <row r="22" s="8" customFormat="1" spans="1:34">
      <c r="A22" s="3" t="s">
        <v>29</v>
      </c>
      <c r="B22" s="5" t="s">
        <v>6</v>
      </c>
      <c r="C22" s="3" t="s">
        <v>30</v>
      </c>
      <c r="D22" s="3" t="s">
        <v>51</v>
      </c>
      <c r="E22" s="5">
        <v>0</v>
      </c>
      <c r="F22" s="24"/>
      <c r="G22" s="25">
        <f t="shared" si="0"/>
        <v>0</v>
      </c>
      <c r="H22" s="5">
        <v>0</v>
      </c>
      <c r="I22" s="24"/>
      <c r="J22" s="25">
        <f t="shared" si="3"/>
        <v>0</v>
      </c>
      <c r="K22" s="5">
        <v>2</v>
      </c>
      <c r="L22" s="24"/>
      <c r="M22" s="25">
        <f t="shared" si="4"/>
        <v>2</v>
      </c>
      <c r="N22" s="5">
        <v>1</v>
      </c>
      <c r="O22" s="24"/>
      <c r="P22" s="25">
        <f t="shared" si="5"/>
        <v>1</v>
      </c>
      <c r="Q22" s="5">
        <v>3</v>
      </c>
      <c r="R22" s="24"/>
      <c r="S22" s="25">
        <f t="shared" si="6"/>
        <v>3</v>
      </c>
      <c r="T22" s="5">
        <v>2</v>
      </c>
      <c r="U22" s="24"/>
      <c r="V22" s="25">
        <f t="shared" si="7"/>
        <v>2</v>
      </c>
      <c r="W22" s="5">
        <v>0</v>
      </c>
      <c r="X22" s="24"/>
      <c r="Y22" s="25">
        <f t="shared" si="8"/>
        <v>0</v>
      </c>
      <c r="Z22" s="5">
        <v>0</v>
      </c>
      <c r="AA22" s="24"/>
      <c r="AB22" s="25">
        <f t="shared" si="9"/>
        <v>0</v>
      </c>
      <c r="AC22" s="5">
        <v>0</v>
      </c>
      <c r="AD22" s="24"/>
      <c r="AE22" s="25">
        <f t="shared" si="10"/>
        <v>0</v>
      </c>
      <c r="AF22" s="3">
        <f t="shared" si="1"/>
        <v>16</v>
      </c>
      <c r="AG22" s="24">
        <f t="shared" si="2"/>
        <v>0</v>
      </c>
      <c r="AH22" s="25">
        <f t="shared" si="11"/>
        <v>16</v>
      </c>
    </row>
    <row r="23" s="8" customFormat="1" spans="1:34">
      <c r="A23" s="3" t="s">
        <v>29</v>
      </c>
      <c r="B23" s="5" t="s">
        <v>6</v>
      </c>
      <c r="C23" s="3" t="s">
        <v>30</v>
      </c>
      <c r="D23" s="3" t="s">
        <v>52</v>
      </c>
      <c r="E23" s="5">
        <v>0</v>
      </c>
      <c r="F23" s="24"/>
      <c r="G23" s="25">
        <f t="shared" si="0"/>
        <v>0</v>
      </c>
      <c r="H23" s="5">
        <v>1</v>
      </c>
      <c r="I23" s="24"/>
      <c r="J23" s="25">
        <f t="shared" si="3"/>
        <v>1</v>
      </c>
      <c r="K23" s="5">
        <v>2</v>
      </c>
      <c r="L23" s="24"/>
      <c r="M23" s="25">
        <f t="shared" si="4"/>
        <v>2</v>
      </c>
      <c r="N23" s="5">
        <v>0</v>
      </c>
      <c r="O23" s="24"/>
      <c r="P23" s="25">
        <f t="shared" si="5"/>
        <v>0</v>
      </c>
      <c r="Q23" s="5">
        <v>1</v>
      </c>
      <c r="R23" s="24"/>
      <c r="S23" s="25">
        <f t="shared" si="6"/>
        <v>1</v>
      </c>
      <c r="T23" s="5">
        <v>0</v>
      </c>
      <c r="U23" s="24"/>
      <c r="V23" s="25">
        <f t="shared" si="7"/>
        <v>0</v>
      </c>
      <c r="W23" s="5">
        <v>0</v>
      </c>
      <c r="X23" s="24"/>
      <c r="Y23" s="25">
        <f t="shared" si="8"/>
        <v>0</v>
      </c>
      <c r="Z23" s="5">
        <v>0</v>
      </c>
      <c r="AA23" s="24"/>
      <c r="AB23" s="25">
        <f t="shared" si="9"/>
        <v>0</v>
      </c>
      <c r="AC23" s="5">
        <v>0</v>
      </c>
      <c r="AD23" s="24"/>
      <c r="AE23" s="25">
        <f t="shared" si="10"/>
        <v>0</v>
      </c>
      <c r="AF23" s="3">
        <f t="shared" si="1"/>
        <v>8</v>
      </c>
      <c r="AG23" s="24">
        <f t="shared" si="2"/>
        <v>0</v>
      </c>
      <c r="AH23" s="25">
        <f t="shared" si="11"/>
        <v>8</v>
      </c>
    </row>
    <row r="24" s="8" customFormat="1" spans="1:34">
      <c r="A24" s="3" t="s">
        <v>29</v>
      </c>
      <c r="B24" s="5" t="s">
        <v>6</v>
      </c>
      <c r="C24" s="3" t="s">
        <v>30</v>
      </c>
      <c r="D24" s="3" t="s">
        <v>53</v>
      </c>
      <c r="E24" s="5">
        <v>0</v>
      </c>
      <c r="F24" s="24"/>
      <c r="G24" s="25">
        <f t="shared" si="0"/>
        <v>0</v>
      </c>
      <c r="H24" s="5">
        <v>1</v>
      </c>
      <c r="I24" s="24"/>
      <c r="J24" s="25">
        <f t="shared" si="3"/>
        <v>1</v>
      </c>
      <c r="K24" s="5">
        <v>2</v>
      </c>
      <c r="L24" s="24"/>
      <c r="M24" s="25">
        <f t="shared" si="4"/>
        <v>2</v>
      </c>
      <c r="N24" s="5">
        <v>2</v>
      </c>
      <c r="O24" s="24"/>
      <c r="P24" s="25">
        <f t="shared" si="5"/>
        <v>2</v>
      </c>
      <c r="Q24" s="5">
        <v>3</v>
      </c>
      <c r="R24" s="24"/>
      <c r="S24" s="25">
        <f t="shared" si="6"/>
        <v>3</v>
      </c>
      <c r="T24" s="5">
        <v>2</v>
      </c>
      <c r="U24" s="24"/>
      <c r="V24" s="25">
        <f t="shared" si="7"/>
        <v>2</v>
      </c>
      <c r="W24" s="5">
        <v>0</v>
      </c>
      <c r="X24" s="24"/>
      <c r="Y24" s="25">
        <f t="shared" si="8"/>
        <v>0</v>
      </c>
      <c r="Z24" s="5">
        <v>0</v>
      </c>
      <c r="AA24" s="24"/>
      <c r="AB24" s="25">
        <f t="shared" si="9"/>
        <v>0</v>
      </c>
      <c r="AC24" s="5">
        <v>0</v>
      </c>
      <c r="AD24" s="24"/>
      <c r="AE24" s="25">
        <f t="shared" si="10"/>
        <v>0</v>
      </c>
      <c r="AF24" s="3">
        <f t="shared" si="1"/>
        <v>20</v>
      </c>
      <c r="AG24" s="24">
        <f t="shared" si="2"/>
        <v>0</v>
      </c>
      <c r="AH24" s="25">
        <f t="shared" si="11"/>
        <v>20</v>
      </c>
    </row>
    <row r="25" s="8" customFormat="1" spans="1:34">
      <c r="A25" s="3" t="s">
        <v>29</v>
      </c>
      <c r="B25" s="5" t="s">
        <v>6</v>
      </c>
      <c r="C25" s="3" t="s">
        <v>30</v>
      </c>
      <c r="D25" s="3" t="s">
        <v>54</v>
      </c>
      <c r="E25" s="5">
        <v>0</v>
      </c>
      <c r="F25" s="24"/>
      <c r="G25" s="25">
        <f t="shared" si="0"/>
        <v>0</v>
      </c>
      <c r="H25" s="5">
        <v>1</v>
      </c>
      <c r="I25" s="24"/>
      <c r="J25" s="25">
        <f t="shared" si="3"/>
        <v>1</v>
      </c>
      <c r="K25" s="5">
        <v>0</v>
      </c>
      <c r="L25" s="24"/>
      <c r="M25" s="25">
        <f t="shared" si="4"/>
        <v>0</v>
      </c>
      <c r="N25" s="5">
        <v>2</v>
      </c>
      <c r="O25" s="24"/>
      <c r="P25" s="25">
        <f t="shared" si="5"/>
        <v>2</v>
      </c>
      <c r="Q25" s="5">
        <v>2</v>
      </c>
      <c r="R25" s="24"/>
      <c r="S25" s="25">
        <f t="shared" si="6"/>
        <v>2</v>
      </c>
      <c r="T25" s="5">
        <v>1</v>
      </c>
      <c r="U25" s="24"/>
      <c r="V25" s="25">
        <f t="shared" si="7"/>
        <v>1</v>
      </c>
      <c r="W25" s="5">
        <v>0</v>
      </c>
      <c r="X25" s="24"/>
      <c r="Y25" s="25">
        <f t="shared" si="8"/>
        <v>0</v>
      </c>
      <c r="Z25" s="5">
        <v>0</v>
      </c>
      <c r="AA25" s="24"/>
      <c r="AB25" s="25">
        <f t="shared" si="9"/>
        <v>0</v>
      </c>
      <c r="AC25" s="5">
        <v>0</v>
      </c>
      <c r="AD25" s="24"/>
      <c r="AE25" s="25">
        <f t="shared" si="10"/>
        <v>0</v>
      </c>
      <c r="AF25" s="3">
        <f t="shared" si="1"/>
        <v>12</v>
      </c>
      <c r="AG25" s="24">
        <f t="shared" si="2"/>
        <v>0</v>
      </c>
      <c r="AH25" s="25">
        <f t="shared" si="11"/>
        <v>12</v>
      </c>
    </row>
    <row r="26" s="8" customFormat="1" spans="1:34">
      <c r="A26" s="3" t="s">
        <v>29</v>
      </c>
      <c r="B26" s="5" t="s">
        <v>6</v>
      </c>
      <c r="C26" s="3" t="s">
        <v>30</v>
      </c>
      <c r="D26" s="3" t="s">
        <v>55</v>
      </c>
      <c r="E26" s="5">
        <v>3</v>
      </c>
      <c r="F26" s="24"/>
      <c r="G26" s="25">
        <f t="shared" si="0"/>
        <v>3</v>
      </c>
      <c r="H26" s="5">
        <v>3</v>
      </c>
      <c r="I26" s="24"/>
      <c r="J26" s="25">
        <f t="shared" si="3"/>
        <v>3</v>
      </c>
      <c r="K26" s="5">
        <v>3</v>
      </c>
      <c r="L26" s="24"/>
      <c r="M26" s="25">
        <f t="shared" si="4"/>
        <v>3</v>
      </c>
      <c r="N26" s="5">
        <v>1</v>
      </c>
      <c r="O26" s="24"/>
      <c r="P26" s="25">
        <f t="shared" si="5"/>
        <v>1</v>
      </c>
      <c r="Q26" s="5">
        <v>3</v>
      </c>
      <c r="R26" s="24"/>
      <c r="S26" s="25">
        <f t="shared" si="6"/>
        <v>3</v>
      </c>
      <c r="T26" s="5">
        <v>2</v>
      </c>
      <c r="U26" s="24"/>
      <c r="V26" s="25">
        <f t="shared" si="7"/>
        <v>2</v>
      </c>
      <c r="W26" s="5">
        <v>2</v>
      </c>
      <c r="X26" s="24"/>
      <c r="Y26" s="25">
        <f t="shared" si="8"/>
        <v>2</v>
      </c>
      <c r="Z26" s="5">
        <v>1</v>
      </c>
      <c r="AA26" s="24"/>
      <c r="AB26" s="25">
        <f t="shared" si="9"/>
        <v>1</v>
      </c>
      <c r="AC26" s="5">
        <v>0</v>
      </c>
      <c r="AD26" s="24"/>
      <c r="AE26" s="25">
        <f t="shared" si="10"/>
        <v>0</v>
      </c>
      <c r="AF26" s="3">
        <f t="shared" si="1"/>
        <v>36</v>
      </c>
      <c r="AG26" s="24">
        <f t="shared" si="2"/>
        <v>0</v>
      </c>
      <c r="AH26" s="25">
        <f t="shared" si="11"/>
        <v>36</v>
      </c>
    </row>
    <row r="27" s="8" customFormat="1" spans="1:34">
      <c r="A27" s="3" t="s">
        <v>29</v>
      </c>
      <c r="B27" s="5" t="s">
        <v>6</v>
      </c>
      <c r="C27" s="3" t="s">
        <v>30</v>
      </c>
      <c r="D27" s="3" t="s">
        <v>56</v>
      </c>
      <c r="E27" s="5">
        <v>0</v>
      </c>
      <c r="F27" s="24"/>
      <c r="G27" s="25">
        <f t="shared" si="0"/>
        <v>0</v>
      </c>
      <c r="H27" s="5">
        <v>1</v>
      </c>
      <c r="I27" s="24"/>
      <c r="J27" s="25">
        <f t="shared" si="3"/>
        <v>1</v>
      </c>
      <c r="K27" s="5">
        <v>2</v>
      </c>
      <c r="L27" s="24"/>
      <c r="M27" s="25">
        <f t="shared" si="4"/>
        <v>2</v>
      </c>
      <c r="N27" s="5">
        <v>0</v>
      </c>
      <c r="O27" s="24"/>
      <c r="P27" s="25">
        <f t="shared" si="5"/>
        <v>0</v>
      </c>
      <c r="Q27" s="5">
        <v>2</v>
      </c>
      <c r="R27" s="24"/>
      <c r="S27" s="25">
        <f t="shared" si="6"/>
        <v>2</v>
      </c>
      <c r="T27" s="5">
        <v>2</v>
      </c>
      <c r="U27" s="24"/>
      <c r="V27" s="25">
        <f t="shared" si="7"/>
        <v>2</v>
      </c>
      <c r="W27" s="5">
        <v>0</v>
      </c>
      <c r="X27" s="24"/>
      <c r="Y27" s="25">
        <f t="shared" si="8"/>
        <v>0</v>
      </c>
      <c r="Z27" s="5">
        <v>0</v>
      </c>
      <c r="AA27" s="24"/>
      <c r="AB27" s="25">
        <f t="shared" si="9"/>
        <v>0</v>
      </c>
      <c r="AC27" s="5">
        <v>0</v>
      </c>
      <c r="AD27" s="24"/>
      <c r="AE27" s="25">
        <f t="shared" si="10"/>
        <v>0</v>
      </c>
      <c r="AF27" s="3">
        <f t="shared" si="1"/>
        <v>14</v>
      </c>
      <c r="AG27" s="24">
        <f t="shared" si="2"/>
        <v>0</v>
      </c>
      <c r="AH27" s="25">
        <f t="shared" si="11"/>
        <v>14</v>
      </c>
    </row>
    <row r="28" s="8" customFormat="1" spans="1:34">
      <c r="A28" s="3" t="s">
        <v>29</v>
      </c>
      <c r="B28" s="5" t="s">
        <v>6</v>
      </c>
      <c r="C28" s="3" t="s">
        <v>30</v>
      </c>
      <c r="D28" s="3" t="s">
        <v>57</v>
      </c>
      <c r="E28" s="5">
        <v>1</v>
      </c>
      <c r="F28" s="24"/>
      <c r="G28" s="25">
        <f t="shared" si="0"/>
        <v>1</v>
      </c>
      <c r="H28" s="5">
        <v>2</v>
      </c>
      <c r="I28" s="24"/>
      <c r="J28" s="25">
        <f t="shared" si="3"/>
        <v>2</v>
      </c>
      <c r="K28" s="5">
        <v>1</v>
      </c>
      <c r="L28" s="24"/>
      <c r="M28" s="25">
        <f t="shared" si="4"/>
        <v>1</v>
      </c>
      <c r="N28" s="5">
        <v>4</v>
      </c>
      <c r="O28" s="24"/>
      <c r="P28" s="25">
        <f t="shared" si="5"/>
        <v>4</v>
      </c>
      <c r="Q28" s="5">
        <v>5</v>
      </c>
      <c r="R28" s="24"/>
      <c r="S28" s="25">
        <f t="shared" si="6"/>
        <v>5</v>
      </c>
      <c r="T28" s="5">
        <v>3</v>
      </c>
      <c r="U28" s="24"/>
      <c r="V28" s="25">
        <f t="shared" si="7"/>
        <v>3</v>
      </c>
      <c r="W28" s="5">
        <v>0</v>
      </c>
      <c r="X28" s="24"/>
      <c r="Y28" s="25">
        <f t="shared" si="8"/>
        <v>0</v>
      </c>
      <c r="Z28" s="5">
        <v>0</v>
      </c>
      <c r="AA28" s="24"/>
      <c r="AB28" s="25">
        <f t="shared" si="9"/>
        <v>0</v>
      </c>
      <c r="AC28" s="5">
        <v>0</v>
      </c>
      <c r="AD28" s="24"/>
      <c r="AE28" s="25">
        <f t="shared" si="10"/>
        <v>0</v>
      </c>
      <c r="AF28" s="3">
        <f t="shared" si="1"/>
        <v>32</v>
      </c>
      <c r="AG28" s="24">
        <f t="shared" si="2"/>
        <v>0</v>
      </c>
      <c r="AH28" s="25">
        <f t="shared" si="11"/>
        <v>32</v>
      </c>
    </row>
    <row r="29" s="8" customFormat="1" spans="1:34">
      <c r="A29" s="3" t="s">
        <v>29</v>
      </c>
      <c r="B29" s="5" t="s">
        <v>6</v>
      </c>
      <c r="C29" s="3" t="s">
        <v>30</v>
      </c>
      <c r="D29" s="3" t="s">
        <v>58</v>
      </c>
      <c r="E29" s="5">
        <v>0</v>
      </c>
      <c r="F29" s="24"/>
      <c r="G29" s="25">
        <f t="shared" si="0"/>
        <v>0</v>
      </c>
      <c r="H29" s="5">
        <v>1</v>
      </c>
      <c r="I29" s="24"/>
      <c r="J29" s="25">
        <f t="shared" si="3"/>
        <v>1</v>
      </c>
      <c r="K29" s="5">
        <v>2</v>
      </c>
      <c r="L29" s="24"/>
      <c r="M29" s="25">
        <f t="shared" si="4"/>
        <v>2</v>
      </c>
      <c r="N29" s="5">
        <v>1</v>
      </c>
      <c r="O29" s="24"/>
      <c r="P29" s="25">
        <f t="shared" si="5"/>
        <v>1</v>
      </c>
      <c r="Q29" s="5">
        <v>2</v>
      </c>
      <c r="R29" s="24"/>
      <c r="S29" s="25">
        <f t="shared" si="6"/>
        <v>2</v>
      </c>
      <c r="T29" s="5">
        <v>3</v>
      </c>
      <c r="U29" s="24"/>
      <c r="V29" s="25">
        <f t="shared" si="7"/>
        <v>3</v>
      </c>
      <c r="W29" s="5">
        <v>0</v>
      </c>
      <c r="X29" s="24"/>
      <c r="Y29" s="25">
        <f t="shared" si="8"/>
        <v>0</v>
      </c>
      <c r="Z29" s="5">
        <v>0</v>
      </c>
      <c r="AA29" s="24"/>
      <c r="AB29" s="25">
        <f t="shared" si="9"/>
        <v>0</v>
      </c>
      <c r="AC29" s="5">
        <v>0</v>
      </c>
      <c r="AD29" s="24"/>
      <c r="AE29" s="25">
        <f t="shared" si="10"/>
        <v>0</v>
      </c>
      <c r="AF29" s="3">
        <f t="shared" si="1"/>
        <v>18</v>
      </c>
      <c r="AG29" s="24">
        <f t="shared" si="2"/>
        <v>0</v>
      </c>
      <c r="AH29" s="25">
        <f t="shared" si="11"/>
        <v>18</v>
      </c>
    </row>
    <row r="30" s="8" customFormat="1" spans="1:34">
      <c r="A30" s="3" t="s">
        <v>29</v>
      </c>
      <c r="B30" s="5" t="s">
        <v>6</v>
      </c>
      <c r="C30" s="3" t="s">
        <v>30</v>
      </c>
      <c r="D30" s="3" t="s">
        <v>59</v>
      </c>
      <c r="E30" s="5">
        <v>0</v>
      </c>
      <c r="F30" s="24"/>
      <c r="G30" s="25">
        <f t="shared" si="0"/>
        <v>0</v>
      </c>
      <c r="H30" s="5">
        <v>2</v>
      </c>
      <c r="I30" s="24"/>
      <c r="J30" s="25">
        <f t="shared" si="3"/>
        <v>2</v>
      </c>
      <c r="K30" s="5">
        <v>1</v>
      </c>
      <c r="L30" s="24"/>
      <c r="M30" s="25">
        <f t="shared" si="4"/>
        <v>1</v>
      </c>
      <c r="N30" s="5">
        <v>2</v>
      </c>
      <c r="O30" s="24"/>
      <c r="P30" s="25">
        <f t="shared" si="5"/>
        <v>2</v>
      </c>
      <c r="Q30" s="5">
        <v>2</v>
      </c>
      <c r="R30" s="24"/>
      <c r="S30" s="25">
        <f t="shared" si="6"/>
        <v>2</v>
      </c>
      <c r="T30" s="5">
        <v>0</v>
      </c>
      <c r="U30" s="24"/>
      <c r="V30" s="25">
        <f t="shared" si="7"/>
        <v>0</v>
      </c>
      <c r="W30" s="5">
        <v>0</v>
      </c>
      <c r="X30" s="24"/>
      <c r="Y30" s="25">
        <f t="shared" si="8"/>
        <v>0</v>
      </c>
      <c r="Z30" s="5">
        <v>0</v>
      </c>
      <c r="AA30" s="24"/>
      <c r="AB30" s="25">
        <f t="shared" si="9"/>
        <v>0</v>
      </c>
      <c r="AC30" s="5">
        <v>0</v>
      </c>
      <c r="AD30" s="24"/>
      <c r="AE30" s="25">
        <f t="shared" si="10"/>
        <v>0</v>
      </c>
      <c r="AF30" s="3">
        <f t="shared" si="1"/>
        <v>14</v>
      </c>
      <c r="AG30" s="24">
        <f t="shared" si="2"/>
        <v>0</v>
      </c>
      <c r="AH30" s="25">
        <f t="shared" si="11"/>
        <v>14</v>
      </c>
    </row>
    <row r="31" s="8" customFormat="1" spans="1:34">
      <c r="A31" s="3" t="s">
        <v>29</v>
      </c>
      <c r="B31" s="5" t="s">
        <v>6</v>
      </c>
      <c r="C31" s="3" t="s">
        <v>30</v>
      </c>
      <c r="D31" s="3" t="s">
        <v>60</v>
      </c>
      <c r="E31" s="5">
        <v>0</v>
      </c>
      <c r="F31" s="24"/>
      <c r="G31" s="25">
        <f t="shared" si="0"/>
        <v>0</v>
      </c>
      <c r="H31" s="5">
        <v>0</v>
      </c>
      <c r="I31" s="24"/>
      <c r="J31" s="25">
        <f t="shared" si="3"/>
        <v>0</v>
      </c>
      <c r="K31" s="5">
        <v>5</v>
      </c>
      <c r="L31" s="24"/>
      <c r="M31" s="25">
        <f t="shared" si="4"/>
        <v>5</v>
      </c>
      <c r="N31" s="5">
        <v>8</v>
      </c>
      <c r="O31" s="24"/>
      <c r="P31" s="25">
        <f t="shared" si="5"/>
        <v>8</v>
      </c>
      <c r="Q31" s="5">
        <v>5</v>
      </c>
      <c r="R31" s="24"/>
      <c r="S31" s="25">
        <f t="shared" si="6"/>
        <v>5</v>
      </c>
      <c r="T31" s="5">
        <v>4</v>
      </c>
      <c r="U31" s="24"/>
      <c r="V31" s="25">
        <f t="shared" si="7"/>
        <v>4</v>
      </c>
      <c r="W31" s="5">
        <v>1</v>
      </c>
      <c r="X31" s="24"/>
      <c r="Y31" s="25">
        <f t="shared" si="8"/>
        <v>1</v>
      </c>
      <c r="Z31" s="5">
        <v>2</v>
      </c>
      <c r="AA31" s="24"/>
      <c r="AB31" s="25">
        <f t="shared" si="9"/>
        <v>2</v>
      </c>
      <c r="AC31" s="5">
        <v>0</v>
      </c>
      <c r="AD31" s="24"/>
      <c r="AE31" s="25">
        <f t="shared" si="10"/>
        <v>0</v>
      </c>
      <c r="AF31" s="3">
        <f t="shared" si="1"/>
        <v>50</v>
      </c>
      <c r="AG31" s="24">
        <f t="shared" si="2"/>
        <v>0</v>
      </c>
      <c r="AH31" s="25">
        <f t="shared" si="11"/>
        <v>50</v>
      </c>
    </row>
    <row r="32" s="8" customFormat="1" spans="1:34">
      <c r="A32" s="3" t="s">
        <v>29</v>
      </c>
      <c r="B32" s="5" t="s">
        <v>6</v>
      </c>
      <c r="C32" s="3" t="s">
        <v>30</v>
      </c>
      <c r="D32" s="3" t="s">
        <v>61</v>
      </c>
      <c r="E32" s="5">
        <v>7</v>
      </c>
      <c r="F32" s="24"/>
      <c r="G32" s="25">
        <f t="shared" si="0"/>
        <v>7</v>
      </c>
      <c r="H32" s="5">
        <v>2</v>
      </c>
      <c r="I32" s="24"/>
      <c r="J32" s="25">
        <f t="shared" si="3"/>
        <v>2</v>
      </c>
      <c r="K32" s="5">
        <v>2</v>
      </c>
      <c r="L32" s="24"/>
      <c r="M32" s="25">
        <f t="shared" si="4"/>
        <v>2</v>
      </c>
      <c r="N32" s="5">
        <v>5</v>
      </c>
      <c r="O32" s="24"/>
      <c r="P32" s="25">
        <f t="shared" si="5"/>
        <v>5</v>
      </c>
      <c r="Q32" s="5">
        <v>9</v>
      </c>
      <c r="R32" s="24"/>
      <c r="S32" s="25">
        <f t="shared" si="6"/>
        <v>9</v>
      </c>
      <c r="T32" s="5">
        <v>0</v>
      </c>
      <c r="U32" s="24"/>
      <c r="V32" s="25">
        <f t="shared" si="7"/>
        <v>0</v>
      </c>
      <c r="W32" s="5">
        <v>0</v>
      </c>
      <c r="X32" s="24"/>
      <c r="Y32" s="25">
        <f t="shared" si="8"/>
        <v>0</v>
      </c>
      <c r="Z32" s="5">
        <v>0</v>
      </c>
      <c r="AA32" s="24"/>
      <c r="AB32" s="25">
        <f t="shared" si="9"/>
        <v>0</v>
      </c>
      <c r="AC32" s="5">
        <v>0</v>
      </c>
      <c r="AD32" s="24"/>
      <c r="AE32" s="25">
        <f t="shared" si="10"/>
        <v>0</v>
      </c>
      <c r="AF32" s="3">
        <f t="shared" si="1"/>
        <v>50</v>
      </c>
      <c r="AG32" s="24">
        <f t="shared" si="2"/>
        <v>0</v>
      </c>
      <c r="AH32" s="25">
        <f t="shared" si="11"/>
        <v>50</v>
      </c>
    </row>
    <row r="33" s="8" customFormat="1" spans="1:34">
      <c r="A33" s="3" t="s">
        <v>29</v>
      </c>
      <c r="B33" s="5" t="s">
        <v>6</v>
      </c>
      <c r="C33" s="3" t="s">
        <v>30</v>
      </c>
      <c r="D33" s="3" t="s">
        <v>62</v>
      </c>
      <c r="E33" s="5">
        <v>0</v>
      </c>
      <c r="F33" s="24"/>
      <c r="G33" s="25">
        <f t="shared" si="0"/>
        <v>0</v>
      </c>
      <c r="H33" s="5">
        <v>0</v>
      </c>
      <c r="I33" s="24"/>
      <c r="J33" s="25">
        <f t="shared" si="3"/>
        <v>0</v>
      </c>
      <c r="K33" s="5">
        <v>0</v>
      </c>
      <c r="L33" s="24"/>
      <c r="M33" s="25">
        <f t="shared" si="4"/>
        <v>0</v>
      </c>
      <c r="N33" s="5">
        <v>3</v>
      </c>
      <c r="O33" s="24"/>
      <c r="P33" s="25">
        <f t="shared" si="5"/>
        <v>3</v>
      </c>
      <c r="Q33" s="5">
        <v>1</v>
      </c>
      <c r="R33" s="24"/>
      <c r="S33" s="25">
        <f t="shared" si="6"/>
        <v>1</v>
      </c>
      <c r="T33" s="5">
        <v>0</v>
      </c>
      <c r="U33" s="24"/>
      <c r="V33" s="25">
        <f t="shared" si="7"/>
        <v>0</v>
      </c>
      <c r="W33" s="5">
        <v>0</v>
      </c>
      <c r="X33" s="24"/>
      <c r="Y33" s="25">
        <f t="shared" si="8"/>
        <v>0</v>
      </c>
      <c r="Z33" s="5">
        <v>0</v>
      </c>
      <c r="AA33" s="24"/>
      <c r="AB33" s="25">
        <f t="shared" si="9"/>
        <v>0</v>
      </c>
      <c r="AC33" s="5">
        <v>0</v>
      </c>
      <c r="AD33" s="24"/>
      <c r="AE33" s="25">
        <f t="shared" si="10"/>
        <v>0</v>
      </c>
      <c r="AF33" s="3">
        <f t="shared" si="1"/>
        <v>8</v>
      </c>
      <c r="AG33" s="24">
        <f t="shared" si="2"/>
        <v>0</v>
      </c>
      <c r="AH33" s="25">
        <f t="shared" si="11"/>
        <v>8</v>
      </c>
    </row>
    <row r="34" s="8" customFormat="1" spans="1:34">
      <c r="A34" s="3" t="s">
        <v>29</v>
      </c>
      <c r="B34" s="5" t="s">
        <v>6</v>
      </c>
      <c r="C34" s="3" t="s">
        <v>30</v>
      </c>
      <c r="D34" s="3" t="s">
        <v>63</v>
      </c>
      <c r="E34" s="5">
        <v>1</v>
      </c>
      <c r="F34" s="24"/>
      <c r="G34" s="25">
        <f t="shared" si="0"/>
        <v>1</v>
      </c>
      <c r="H34" s="5">
        <v>1</v>
      </c>
      <c r="I34" s="24"/>
      <c r="J34" s="25">
        <f t="shared" si="3"/>
        <v>1</v>
      </c>
      <c r="K34" s="5">
        <v>3</v>
      </c>
      <c r="L34" s="24"/>
      <c r="M34" s="25">
        <f t="shared" si="4"/>
        <v>3</v>
      </c>
      <c r="N34" s="5">
        <v>3</v>
      </c>
      <c r="O34" s="24"/>
      <c r="P34" s="25">
        <f t="shared" si="5"/>
        <v>3</v>
      </c>
      <c r="Q34" s="5">
        <v>3</v>
      </c>
      <c r="R34" s="24"/>
      <c r="S34" s="25">
        <f t="shared" si="6"/>
        <v>3</v>
      </c>
      <c r="T34" s="5">
        <v>3</v>
      </c>
      <c r="U34" s="24"/>
      <c r="V34" s="25">
        <f t="shared" si="7"/>
        <v>3</v>
      </c>
      <c r="W34" s="5">
        <v>0</v>
      </c>
      <c r="X34" s="24"/>
      <c r="Y34" s="25">
        <f t="shared" si="8"/>
        <v>0</v>
      </c>
      <c r="Z34" s="5">
        <v>0</v>
      </c>
      <c r="AA34" s="24"/>
      <c r="AB34" s="25">
        <f t="shared" si="9"/>
        <v>0</v>
      </c>
      <c r="AC34" s="5">
        <v>1</v>
      </c>
      <c r="AD34" s="24"/>
      <c r="AE34" s="25">
        <f t="shared" si="10"/>
        <v>1</v>
      </c>
      <c r="AF34" s="3">
        <f t="shared" si="1"/>
        <v>29</v>
      </c>
      <c r="AG34" s="24">
        <f t="shared" si="2"/>
        <v>0</v>
      </c>
      <c r="AH34" s="25">
        <f t="shared" si="11"/>
        <v>29</v>
      </c>
    </row>
    <row r="35" s="8" customFormat="1" spans="1:34">
      <c r="A35" s="3" t="s">
        <v>29</v>
      </c>
      <c r="B35" s="5" t="s">
        <v>6</v>
      </c>
      <c r="C35" s="3" t="s">
        <v>30</v>
      </c>
      <c r="D35" s="3" t="s">
        <v>64</v>
      </c>
      <c r="E35" s="5">
        <v>0</v>
      </c>
      <c r="F35" s="24"/>
      <c r="G35" s="25">
        <f t="shared" si="0"/>
        <v>0</v>
      </c>
      <c r="H35" s="5">
        <v>0</v>
      </c>
      <c r="I35" s="24"/>
      <c r="J35" s="25">
        <f t="shared" si="3"/>
        <v>0</v>
      </c>
      <c r="K35" s="5">
        <v>1</v>
      </c>
      <c r="L35" s="24"/>
      <c r="M35" s="25">
        <f t="shared" si="4"/>
        <v>1</v>
      </c>
      <c r="N35" s="5">
        <v>1</v>
      </c>
      <c r="O35" s="24"/>
      <c r="P35" s="25">
        <f t="shared" si="5"/>
        <v>1</v>
      </c>
      <c r="Q35" s="5">
        <v>2</v>
      </c>
      <c r="R35" s="24"/>
      <c r="S35" s="25">
        <f t="shared" si="6"/>
        <v>2</v>
      </c>
      <c r="T35" s="5">
        <v>1</v>
      </c>
      <c r="U35" s="24"/>
      <c r="V35" s="25">
        <f t="shared" si="7"/>
        <v>1</v>
      </c>
      <c r="W35" s="5">
        <v>0</v>
      </c>
      <c r="X35" s="24"/>
      <c r="Y35" s="25">
        <f t="shared" si="8"/>
        <v>0</v>
      </c>
      <c r="Z35" s="5">
        <v>0</v>
      </c>
      <c r="AA35" s="24"/>
      <c r="AB35" s="25">
        <f t="shared" si="9"/>
        <v>0</v>
      </c>
      <c r="AC35" s="5">
        <v>0</v>
      </c>
      <c r="AD35" s="24"/>
      <c r="AE35" s="25">
        <f t="shared" si="10"/>
        <v>0</v>
      </c>
      <c r="AF35" s="3">
        <f t="shared" si="1"/>
        <v>10</v>
      </c>
      <c r="AG35" s="24">
        <f t="shared" si="2"/>
        <v>0</v>
      </c>
      <c r="AH35" s="25">
        <f t="shared" si="11"/>
        <v>10</v>
      </c>
    </row>
    <row r="36" s="8" customFormat="1" spans="1:34">
      <c r="A36" s="3" t="s">
        <v>29</v>
      </c>
      <c r="B36" s="5" t="s">
        <v>6</v>
      </c>
      <c r="C36" s="3" t="s">
        <v>30</v>
      </c>
      <c r="D36" s="3" t="s">
        <v>65</v>
      </c>
      <c r="E36" s="5">
        <v>3</v>
      </c>
      <c r="F36" s="24"/>
      <c r="G36" s="25">
        <f t="shared" si="0"/>
        <v>3</v>
      </c>
      <c r="H36" s="5">
        <v>0</v>
      </c>
      <c r="I36" s="24"/>
      <c r="J36" s="25">
        <f t="shared" si="3"/>
        <v>0</v>
      </c>
      <c r="K36" s="5">
        <v>3</v>
      </c>
      <c r="L36" s="24"/>
      <c r="M36" s="25">
        <f t="shared" si="4"/>
        <v>3</v>
      </c>
      <c r="N36" s="5">
        <v>3</v>
      </c>
      <c r="O36" s="24"/>
      <c r="P36" s="25">
        <f t="shared" si="5"/>
        <v>3</v>
      </c>
      <c r="Q36" s="5">
        <v>3</v>
      </c>
      <c r="R36" s="24"/>
      <c r="S36" s="25">
        <f t="shared" si="6"/>
        <v>3</v>
      </c>
      <c r="T36" s="5">
        <v>1</v>
      </c>
      <c r="U36" s="24"/>
      <c r="V36" s="25">
        <f t="shared" si="7"/>
        <v>1</v>
      </c>
      <c r="W36" s="5">
        <v>0</v>
      </c>
      <c r="X36" s="24"/>
      <c r="Y36" s="25">
        <f t="shared" si="8"/>
        <v>0</v>
      </c>
      <c r="Z36" s="5">
        <v>0</v>
      </c>
      <c r="AA36" s="24"/>
      <c r="AB36" s="25">
        <f t="shared" si="9"/>
        <v>0</v>
      </c>
      <c r="AC36" s="5">
        <v>0</v>
      </c>
      <c r="AD36" s="24"/>
      <c r="AE36" s="25">
        <f t="shared" si="10"/>
        <v>0</v>
      </c>
      <c r="AF36" s="3">
        <f t="shared" si="1"/>
        <v>26</v>
      </c>
      <c r="AG36" s="24">
        <f t="shared" si="2"/>
        <v>0</v>
      </c>
      <c r="AH36" s="25">
        <f t="shared" si="11"/>
        <v>26</v>
      </c>
    </row>
    <row r="37" s="8" customFormat="1" spans="1:34">
      <c r="A37" s="3" t="s">
        <v>29</v>
      </c>
      <c r="B37" s="5" t="s">
        <v>6</v>
      </c>
      <c r="C37" s="3" t="s">
        <v>30</v>
      </c>
      <c r="D37" s="3" t="s">
        <v>66</v>
      </c>
      <c r="E37" s="5">
        <v>1</v>
      </c>
      <c r="F37" s="24"/>
      <c r="G37" s="25">
        <f t="shared" si="0"/>
        <v>1</v>
      </c>
      <c r="H37" s="5">
        <v>2</v>
      </c>
      <c r="I37" s="24"/>
      <c r="J37" s="25">
        <f t="shared" si="3"/>
        <v>2</v>
      </c>
      <c r="K37" s="5">
        <v>4</v>
      </c>
      <c r="L37" s="24"/>
      <c r="M37" s="25">
        <f t="shared" si="4"/>
        <v>4</v>
      </c>
      <c r="N37" s="5">
        <v>4</v>
      </c>
      <c r="O37" s="24"/>
      <c r="P37" s="25">
        <f t="shared" si="5"/>
        <v>4</v>
      </c>
      <c r="Q37" s="5">
        <v>3</v>
      </c>
      <c r="R37" s="24"/>
      <c r="S37" s="25">
        <f t="shared" si="6"/>
        <v>3</v>
      </c>
      <c r="T37" s="5">
        <v>3</v>
      </c>
      <c r="U37" s="24"/>
      <c r="V37" s="25">
        <f t="shared" si="7"/>
        <v>3</v>
      </c>
      <c r="W37" s="5">
        <v>0</v>
      </c>
      <c r="X37" s="24"/>
      <c r="Y37" s="25">
        <f t="shared" si="8"/>
        <v>0</v>
      </c>
      <c r="Z37" s="5">
        <v>0</v>
      </c>
      <c r="AA37" s="24"/>
      <c r="AB37" s="25">
        <f t="shared" si="9"/>
        <v>0</v>
      </c>
      <c r="AC37" s="5">
        <v>0</v>
      </c>
      <c r="AD37" s="24"/>
      <c r="AE37" s="25">
        <f t="shared" si="10"/>
        <v>0</v>
      </c>
      <c r="AF37" s="3">
        <f t="shared" si="1"/>
        <v>34</v>
      </c>
      <c r="AG37" s="24">
        <f t="shared" si="2"/>
        <v>0</v>
      </c>
      <c r="AH37" s="25">
        <f t="shared" si="11"/>
        <v>34</v>
      </c>
    </row>
    <row r="38" s="8" customFormat="1" spans="1:34">
      <c r="A38" s="3" t="s">
        <v>29</v>
      </c>
      <c r="B38" s="5" t="s">
        <v>6</v>
      </c>
      <c r="C38" s="3" t="s">
        <v>30</v>
      </c>
      <c r="D38" s="3" t="s">
        <v>67</v>
      </c>
      <c r="E38" s="5">
        <v>0</v>
      </c>
      <c r="F38" s="24"/>
      <c r="G38" s="25">
        <f t="shared" si="0"/>
        <v>0</v>
      </c>
      <c r="H38" s="5">
        <v>0</v>
      </c>
      <c r="I38" s="24"/>
      <c r="J38" s="25">
        <f t="shared" si="3"/>
        <v>0</v>
      </c>
      <c r="K38" s="5">
        <v>1</v>
      </c>
      <c r="L38" s="24"/>
      <c r="M38" s="25">
        <f t="shared" si="4"/>
        <v>1</v>
      </c>
      <c r="N38" s="5">
        <v>0</v>
      </c>
      <c r="O38" s="24"/>
      <c r="P38" s="25">
        <f t="shared" si="5"/>
        <v>0</v>
      </c>
      <c r="Q38" s="5">
        <v>0</v>
      </c>
      <c r="R38" s="24"/>
      <c r="S38" s="25">
        <f t="shared" si="6"/>
        <v>0</v>
      </c>
      <c r="T38" s="5">
        <v>1</v>
      </c>
      <c r="U38" s="24"/>
      <c r="V38" s="25">
        <f t="shared" si="7"/>
        <v>1</v>
      </c>
      <c r="W38" s="5">
        <v>0</v>
      </c>
      <c r="X38" s="24"/>
      <c r="Y38" s="25">
        <f t="shared" si="8"/>
        <v>0</v>
      </c>
      <c r="Z38" s="5">
        <v>0</v>
      </c>
      <c r="AA38" s="24"/>
      <c r="AB38" s="25">
        <f t="shared" si="9"/>
        <v>0</v>
      </c>
      <c r="AC38" s="5">
        <v>0</v>
      </c>
      <c r="AD38" s="24"/>
      <c r="AE38" s="25">
        <f t="shared" si="10"/>
        <v>0</v>
      </c>
      <c r="AF38" s="3">
        <f t="shared" si="1"/>
        <v>4</v>
      </c>
      <c r="AG38" s="24">
        <f t="shared" si="2"/>
        <v>0</v>
      </c>
      <c r="AH38" s="25">
        <f t="shared" si="11"/>
        <v>4</v>
      </c>
    </row>
    <row r="39" s="8" customFormat="1" spans="1:34">
      <c r="A39" s="3" t="s">
        <v>29</v>
      </c>
      <c r="B39" s="5" t="s">
        <v>6</v>
      </c>
      <c r="C39" s="3" t="s">
        <v>30</v>
      </c>
      <c r="D39" s="3" t="s">
        <v>68</v>
      </c>
      <c r="E39" s="5">
        <v>1</v>
      </c>
      <c r="F39" s="24"/>
      <c r="G39" s="25">
        <f t="shared" si="0"/>
        <v>1</v>
      </c>
      <c r="H39" s="5">
        <v>1</v>
      </c>
      <c r="I39" s="24"/>
      <c r="J39" s="25">
        <f t="shared" si="3"/>
        <v>1</v>
      </c>
      <c r="K39" s="5">
        <v>1</v>
      </c>
      <c r="L39" s="24"/>
      <c r="M39" s="25">
        <f t="shared" si="4"/>
        <v>1</v>
      </c>
      <c r="N39" s="5">
        <v>0</v>
      </c>
      <c r="O39" s="24"/>
      <c r="P39" s="25">
        <f t="shared" si="5"/>
        <v>0</v>
      </c>
      <c r="Q39" s="5">
        <v>2</v>
      </c>
      <c r="R39" s="24"/>
      <c r="S39" s="25">
        <f t="shared" si="6"/>
        <v>2</v>
      </c>
      <c r="T39" s="5">
        <v>1</v>
      </c>
      <c r="U39" s="24"/>
      <c r="V39" s="25">
        <f t="shared" si="7"/>
        <v>1</v>
      </c>
      <c r="W39" s="5">
        <v>0</v>
      </c>
      <c r="X39" s="24"/>
      <c r="Y39" s="25">
        <f t="shared" si="8"/>
        <v>0</v>
      </c>
      <c r="Z39" s="5">
        <v>0</v>
      </c>
      <c r="AA39" s="24"/>
      <c r="AB39" s="25">
        <f t="shared" si="9"/>
        <v>0</v>
      </c>
      <c r="AC39" s="5">
        <v>0</v>
      </c>
      <c r="AD39" s="24"/>
      <c r="AE39" s="25">
        <f t="shared" si="10"/>
        <v>0</v>
      </c>
      <c r="AF39" s="3">
        <f t="shared" si="1"/>
        <v>12</v>
      </c>
      <c r="AG39" s="24">
        <f t="shared" si="2"/>
        <v>0</v>
      </c>
      <c r="AH39" s="25">
        <f t="shared" si="11"/>
        <v>12</v>
      </c>
    </row>
    <row r="40" s="8" customFormat="1" spans="1:34">
      <c r="A40" s="3" t="s">
        <v>29</v>
      </c>
      <c r="B40" s="5" t="s">
        <v>6</v>
      </c>
      <c r="C40" s="3" t="s">
        <v>30</v>
      </c>
      <c r="D40" s="3" t="s">
        <v>69</v>
      </c>
      <c r="E40" s="5">
        <v>0</v>
      </c>
      <c r="F40" s="24"/>
      <c r="G40" s="25">
        <f t="shared" si="0"/>
        <v>0</v>
      </c>
      <c r="H40" s="5">
        <v>2</v>
      </c>
      <c r="I40" s="24"/>
      <c r="J40" s="25">
        <f t="shared" si="3"/>
        <v>2</v>
      </c>
      <c r="K40" s="5">
        <v>2</v>
      </c>
      <c r="L40" s="24"/>
      <c r="M40" s="25">
        <f t="shared" si="4"/>
        <v>2</v>
      </c>
      <c r="N40" s="5">
        <v>1</v>
      </c>
      <c r="O40" s="24"/>
      <c r="P40" s="25">
        <f t="shared" si="5"/>
        <v>1</v>
      </c>
      <c r="Q40" s="5">
        <v>1</v>
      </c>
      <c r="R40" s="24"/>
      <c r="S40" s="25">
        <f t="shared" si="6"/>
        <v>1</v>
      </c>
      <c r="T40" s="5">
        <v>0</v>
      </c>
      <c r="U40" s="24"/>
      <c r="V40" s="25">
        <f t="shared" si="7"/>
        <v>0</v>
      </c>
      <c r="W40" s="5">
        <v>0</v>
      </c>
      <c r="X40" s="24"/>
      <c r="Y40" s="25">
        <f t="shared" si="8"/>
        <v>0</v>
      </c>
      <c r="Z40" s="5">
        <v>0</v>
      </c>
      <c r="AA40" s="24"/>
      <c r="AB40" s="25">
        <f t="shared" si="9"/>
        <v>0</v>
      </c>
      <c r="AC40" s="5">
        <v>0</v>
      </c>
      <c r="AD40" s="24"/>
      <c r="AE40" s="25">
        <f t="shared" si="10"/>
        <v>0</v>
      </c>
      <c r="AF40" s="3">
        <f t="shared" si="1"/>
        <v>12</v>
      </c>
      <c r="AG40" s="24">
        <f t="shared" si="2"/>
        <v>0</v>
      </c>
      <c r="AH40" s="25">
        <f t="shared" si="11"/>
        <v>12</v>
      </c>
    </row>
    <row r="41" s="8" customFormat="1" spans="1:34">
      <c r="A41" s="3" t="s">
        <v>29</v>
      </c>
      <c r="B41" s="5" t="s">
        <v>6</v>
      </c>
      <c r="C41" s="3" t="s">
        <v>30</v>
      </c>
      <c r="D41" s="3" t="s">
        <v>70</v>
      </c>
      <c r="E41" s="5">
        <v>0</v>
      </c>
      <c r="F41" s="24"/>
      <c r="G41" s="25">
        <f t="shared" si="0"/>
        <v>0</v>
      </c>
      <c r="H41" s="5">
        <v>2</v>
      </c>
      <c r="I41" s="24"/>
      <c r="J41" s="25">
        <f t="shared" si="3"/>
        <v>2</v>
      </c>
      <c r="K41" s="5">
        <v>2</v>
      </c>
      <c r="L41" s="24"/>
      <c r="M41" s="25">
        <f t="shared" si="4"/>
        <v>2</v>
      </c>
      <c r="N41" s="5">
        <v>3</v>
      </c>
      <c r="O41" s="24"/>
      <c r="P41" s="25">
        <f t="shared" si="5"/>
        <v>3</v>
      </c>
      <c r="Q41" s="5">
        <v>2</v>
      </c>
      <c r="R41" s="24"/>
      <c r="S41" s="25">
        <f t="shared" si="6"/>
        <v>2</v>
      </c>
      <c r="T41" s="5">
        <v>0</v>
      </c>
      <c r="U41" s="24"/>
      <c r="V41" s="25">
        <f t="shared" si="7"/>
        <v>0</v>
      </c>
      <c r="W41" s="5">
        <v>0</v>
      </c>
      <c r="X41" s="24"/>
      <c r="Y41" s="25">
        <f t="shared" si="8"/>
        <v>0</v>
      </c>
      <c r="Z41" s="5">
        <v>0</v>
      </c>
      <c r="AA41" s="24"/>
      <c r="AB41" s="25">
        <f t="shared" si="9"/>
        <v>0</v>
      </c>
      <c r="AC41" s="5">
        <v>0</v>
      </c>
      <c r="AD41" s="24"/>
      <c r="AE41" s="25">
        <f t="shared" si="10"/>
        <v>0</v>
      </c>
      <c r="AF41" s="3">
        <f t="shared" si="1"/>
        <v>18</v>
      </c>
      <c r="AG41" s="24">
        <f t="shared" si="2"/>
        <v>0</v>
      </c>
      <c r="AH41" s="25">
        <f t="shared" si="11"/>
        <v>18</v>
      </c>
    </row>
    <row r="42" s="8" customFormat="1" spans="1:34">
      <c r="A42" s="3" t="s">
        <v>29</v>
      </c>
      <c r="B42" s="5" t="s">
        <v>6</v>
      </c>
      <c r="C42" s="3" t="s">
        <v>30</v>
      </c>
      <c r="D42" s="3" t="s">
        <v>71</v>
      </c>
      <c r="E42" s="5">
        <v>0</v>
      </c>
      <c r="F42" s="24"/>
      <c r="G42" s="25">
        <f t="shared" si="0"/>
        <v>0</v>
      </c>
      <c r="H42" s="5">
        <v>2</v>
      </c>
      <c r="I42" s="24"/>
      <c r="J42" s="25">
        <f t="shared" si="3"/>
        <v>2</v>
      </c>
      <c r="K42" s="5">
        <v>3</v>
      </c>
      <c r="L42" s="24"/>
      <c r="M42" s="25">
        <f t="shared" si="4"/>
        <v>3</v>
      </c>
      <c r="N42" s="5">
        <v>1</v>
      </c>
      <c r="O42" s="24"/>
      <c r="P42" s="25">
        <f t="shared" si="5"/>
        <v>1</v>
      </c>
      <c r="Q42" s="5">
        <v>4</v>
      </c>
      <c r="R42" s="24"/>
      <c r="S42" s="25">
        <f t="shared" si="6"/>
        <v>4</v>
      </c>
      <c r="T42" s="5">
        <v>1</v>
      </c>
      <c r="U42" s="24"/>
      <c r="V42" s="25">
        <f t="shared" si="7"/>
        <v>1</v>
      </c>
      <c r="W42" s="5">
        <v>0</v>
      </c>
      <c r="X42" s="24"/>
      <c r="Y42" s="25">
        <f t="shared" si="8"/>
        <v>0</v>
      </c>
      <c r="Z42" s="5">
        <v>0</v>
      </c>
      <c r="AA42" s="24"/>
      <c r="AB42" s="25">
        <f t="shared" si="9"/>
        <v>0</v>
      </c>
      <c r="AC42" s="5">
        <v>0</v>
      </c>
      <c r="AD42" s="24"/>
      <c r="AE42" s="25">
        <f t="shared" si="10"/>
        <v>0</v>
      </c>
      <c r="AF42" s="3">
        <f t="shared" si="1"/>
        <v>22</v>
      </c>
      <c r="AG42" s="24">
        <f t="shared" si="2"/>
        <v>0</v>
      </c>
      <c r="AH42" s="25">
        <f t="shared" si="11"/>
        <v>22</v>
      </c>
    </row>
    <row r="43" s="8" customFormat="1" spans="1:34">
      <c r="A43" s="3" t="s">
        <v>29</v>
      </c>
      <c r="B43" s="5" t="s">
        <v>6</v>
      </c>
      <c r="C43" s="3" t="s">
        <v>30</v>
      </c>
      <c r="D43" s="3" t="s">
        <v>72</v>
      </c>
      <c r="E43" s="5">
        <v>0</v>
      </c>
      <c r="F43" s="24"/>
      <c r="G43" s="25">
        <f t="shared" si="0"/>
        <v>0</v>
      </c>
      <c r="H43" s="5">
        <v>1</v>
      </c>
      <c r="I43" s="24"/>
      <c r="J43" s="25">
        <f t="shared" si="3"/>
        <v>1</v>
      </c>
      <c r="K43" s="5">
        <v>1</v>
      </c>
      <c r="L43" s="24"/>
      <c r="M43" s="25">
        <f t="shared" si="4"/>
        <v>1</v>
      </c>
      <c r="N43" s="5">
        <v>1</v>
      </c>
      <c r="O43" s="24"/>
      <c r="P43" s="25">
        <f t="shared" si="5"/>
        <v>1</v>
      </c>
      <c r="Q43" s="5">
        <v>1</v>
      </c>
      <c r="R43" s="24"/>
      <c r="S43" s="25">
        <f t="shared" si="6"/>
        <v>1</v>
      </c>
      <c r="T43" s="5">
        <v>2</v>
      </c>
      <c r="U43" s="24"/>
      <c r="V43" s="25">
        <f t="shared" si="7"/>
        <v>2</v>
      </c>
      <c r="W43" s="5">
        <v>0</v>
      </c>
      <c r="X43" s="24"/>
      <c r="Y43" s="25">
        <f t="shared" si="8"/>
        <v>0</v>
      </c>
      <c r="Z43" s="5">
        <v>0</v>
      </c>
      <c r="AA43" s="24"/>
      <c r="AB43" s="25">
        <f t="shared" si="9"/>
        <v>0</v>
      </c>
      <c r="AC43" s="5">
        <v>0</v>
      </c>
      <c r="AD43" s="24"/>
      <c r="AE43" s="25">
        <f t="shared" si="10"/>
        <v>0</v>
      </c>
      <c r="AF43" s="3">
        <f t="shared" si="1"/>
        <v>12</v>
      </c>
      <c r="AG43" s="24">
        <f t="shared" si="2"/>
        <v>0</v>
      </c>
      <c r="AH43" s="25">
        <f t="shared" si="11"/>
        <v>12</v>
      </c>
    </row>
    <row r="44" s="8" customFormat="1" spans="1:34">
      <c r="A44" s="3" t="s">
        <v>29</v>
      </c>
      <c r="B44" s="5" t="s">
        <v>6</v>
      </c>
      <c r="C44" s="3" t="s">
        <v>30</v>
      </c>
      <c r="D44" s="3" t="s">
        <v>73</v>
      </c>
      <c r="E44" s="5">
        <v>4</v>
      </c>
      <c r="F44" s="24"/>
      <c r="G44" s="25">
        <f t="shared" si="0"/>
        <v>4</v>
      </c>
      <c r="H44" s="5">
        <v>1</v>
      </c>
      <c r="I44" s="24"/>
      <c r="J44" s="25">
        <f t="shared" si="3"/>
        <v>1</v>
      </c>
      <c r="K44" s="5">
        <v>3</v>
      </c>
      <c r="L44" s="24"/>
      <c r="M44" s="25">
        <f t="shared" si="4"/>
        <v>3</v>
      </c>
      <c r="N44" s="5">
        <v>5</v>
      </c>
      <c r="O44" s="24"/>
      <c r="P44" s="25">
        <f t="shared" si="5"/>
        <v>5</v>
      </c>
      <c r="Q44" s="5">
        <v>3</v>
      </c>
      <c r="R44" s="24"/>
      <c r="S44" s="25">
        <f t="shared" si="6"/>
        <v>3</v>
      </c>
      <c r="T44" s="5">
        <v>3</v>
      </c>
      <c r="U44" s="24"/>
      <c r="V44" s="25">
        <f t="shared" si="7"/>
        <v>3</v>
      </c>
      <c r="W44" s="5">
        <v>2</v>
      </c>
      <c r="X44" s="24"/>
      <c r="Y44" s="25">
        <f t="shared" si="8"/>
        <v>2</v>
      </c>
      <c r="Z44" s="5">
        <v>3</v>
      </c>
      <c r="AA44" s="24"/>
      <c r="AB44" s="25">
        <f t="shared" si="9"/>
        <v>3</v>
      </c>
      <c r="AC44" s="5">
        <v>0</v>
      </c>
      <c r="AD44" s="24"/>
      <c r="AE44" s="25">
        <f t="shared" si="10"/>
        <v>0</v>
      </c>
      <c r="AF44" s="3">
        <f t="shared" si="1"/>
        <v>48</v>
      </c>
      <c r="AG44" s="24">
        <f t="shared" si="2"/>
        <v>0</v>
      </c>
      <c r="AH44" s="25">
        <f t="shared" si="11"/>
        <v>48</v>
      </c>
    </row>
    <row r="45" s="8" customFormat="1" spans="1:34">
      <c r="A45" s="3" t="s">
        <v>29</v>
      </c>
      <c r="B45" s="5" t="s">
        <v>6</v>
      </c>
      <c r="C45" s="3" t="s">
        <v>30</v>
      </c>
      <c r="D45" s="3" t="s">
        <v>74</v>
      </c>
      <c r="E45" s="5">
        <v>0</v>
      </c>
      <c r="F45" s="24"/>
      <c r="G45" s="25">
        <f t="shared" si="0"/>
        <v>0</v>
      </c>
      <c r="H45" s="5">
        <v>1</v>
      </c>
      <c r="I45" s="24"/>
      <c r="J45" s="25">
        <f t="shared" si="3"/>
        <v>1</v>
      </c>
      <c r="K45" s="5">
        <v>4</v>
      </c>
      <c r="L45" s="24"/>
      <c r="M45" s="25">
        <f t="shared" si="4"/>
        <v>4</v>
      </c>
      <c r="N45" s="5">
        <v>2</v>
      </c>
      <c r="O45" s="24"/>
      <c r="P45" s="25">
        <f t="shared" si="5"/>
        <v>2</v>
      </c>
      <c r="Q45" s="5">
        <v>1</v>
      </c>
      <c r="R45" s="24"/>
      <c r="S45" s="25">
        <f t="shared" si="6"/>
        <v>1</v>
      </c>
      <c r="T45" s="5">
        <f>1</f>
        <v>1</v>
      </c>
      <c r="U45" s="24">
        <v>1</v>
      </c>
      <c r="V45" s="25">
        <f t="shared" si="7"/>
        <v>0</v>
      </c>
      <c r="W45" s="5">
        <v>0</v>
      </c>
      <c r="X45" s="24"/>
      <c r="Y45" s="25">
        <f t="shared" si="8"/>
        <v>0</v>
      </c>
      <c r="Z45" s="5">
        <v>0</v>
      </c>
      <c r="AA45" s="24"/>
      <c r="AB45" s="25">
        <f t="shared" si="9"/>
        <v>0</v>
      </c>
      <c r="AC45" s="5">
        <v>0</v>
      </c>
      <c r="AD45" s="24"/>
      <c r="AE45" s="25">
        <f t="shared" si="10"/>
        <v>0</v>
      </c>
      <c r="AF45" s="3">
        <f t="shared" si="1"/>
        <v>18</v>
      </c>
      <c r="AG45" s="24">
        <f t="shared" si="2"/>
        <v>1</v>
      </c>
      <c r="AH45" s="25">
        <f t="shared" si="11"/>
        <v>17</v>
      </c>
    </row>
    <row r="46" s="8" customFormat="1" spans="1:34">
      <c r="A46" s="3" t="s">
        <v>29</v>
      </c>
      <c r="B46" s="5" t="s">
        <v>6</v>
      </c>
      <c r="C46" s="3" t="s">
        <v>30</v>
      </c>
      <c r="D46" s="3" t="s">
        <v>75</v>
      </c>
      <c r="E46" s="5">
        <v>1</v>
      </c>
      <c r="F46" s="24"/>
      <c r="G46" s="25">
        <f t="shared" si="0"/>
        <v>1</v>
      </c>
      <c r="H46" s="5">
        <v>2</v>
      </c>
      <c r="I46" s="24"/>
      <c r="J46" s="25">
        <f t="shared" si="3"/>
        <v>2</v>
      </c>
      <c r="K46" s="5">
        <v>2</v>
      </c>
      <c r="L46" s="24"/>
      <c r="M46" s="25">
        <f t="shared" si="4"/>
        <v>2</v>
      </c>
      <c r="N46" s="5">
        <v>5</v>
      </c>
      <c r="O46" s="24"/>
      <c r="P46" s="25">
        <f t="shared" si="5"/>
        <v>5</v>
      </c>
      <c r="Q46" s="5">
        <v>2</v>
      </c>
      <c r="R46" s="24"/>
      <c r="S46" s="25">
        <f t="shared" si="6"/>
        <v>2</v>
      </c>
      <c r="T46" s="5">
        <v>2</v>
      </c>
      <c r="U46" s="24"/>
      <c r="V46" s="25">
        <f t="shared" si="7"/>
        <v>2</v>
      </c>
      <c r="W46" s="5">
        <v>0</v>
      </c>
      <c r="X46" s="24"/>
      <c r="Y46" s="25">
        <f t="shared" si="8"/>
        <v>0</v>
      </c>
      <c r="Z46" s="5">
        <v>0</v>
      </c>
      <c r="AA46" s="24"/>
      <c r="AB46" s="25">
        <f t="shared" si="9"/>
        <v>0</v>
      </c>
      <c r="AC46" s="5">
        <v>0</v>
      </c>
      <c r="AD46" s="24"/>
      <c r="AE46" s="25">
        <f t="shared" si="10"/>
        <v>0</v>
      </c>
      <c r="AF46" s="3">
        <f t="shared" si="1"/>
        <v>28</v>
      </c>
      <c r="AG46" s="24">
        <f t="shared" si="2"/>
        <v>0</v>
      </c>
      <c r="AH46" s="25">
        <f t="shared" si="11"/>
        <v>28</v>
      </c>
    </row>
    <row r="47" s="8" customFormat="1" spans="1:34">
      <c r="A47" s="3" t="s">
        <v>29</v>
      </c>
      <c r="B47" s="5" t="s">
        <v>6</v>
      </c>
      <c r="C47" s="3" t="s">
        <v>30</v>
      </c>
      <c r="D47" s="3" t="s">
        <v>76</v>
      </c>
      <c r="E47" s="5">
        <v>0</v>
      </c>
      <c r="F47" s="24"/>
      <c r="G47" s="25">
        <f t="shared" si="0"/>
        <v>0</v>
      </c>
      <c r="H47" s="5">
        <v>2</v>
      </c>
      <c r="I47" s="24"/>
      <c r="J47" s="25">
        <f t="shared" si="3"/>
        <v>2</v>
      </c>
      <c r="K47" s="5">
        <v>4</v>
      </c>
      <c r="L47" s="24"/>
      <c r="M47" s="25">
        <f t="shared" si="4"/>
        <v>4</v>
      </c>
      <c r="N47" s="5">
        <v>1</v>
      </c>
      <c r="O47" s="24"/>
      <c r="P47" s="25">
        <f t="shared" si="5"/>
        <v>1</v>
      </c>
      <c r="Q47" s="5">
        <v>1</v>
      </c>
      <c r="R47" s="24"/>
      <c r="S47" s="25">
        <f t="shared" si="6"/>
        <v>1</v>
      </c>
      <c r="T47" s="5">
        <v>1</v>
      </c>
      <c r="U47" s="24"/>
      <c r="V47" s="25">
        <f t="shared" si="7"/>
        <v>1</v>
      </c>
      <c r="W47" s="5">
        <v>0</v>
      </c>
      <c r="X47" s="24"/>
      <c r="Y47" s="25">
        <f t="shared" si="8"/>
        <v>0</v>
      </c>
      <c r="Z47" s="5">
        <v>0</v>
      </c>
      <c r="AA47" s="24"/>
      <c r="AB47" s="25">
        <f t="shared" si="9"/>
        <v>0</v>
      </c>
      <c r="AC47" s="5">
        <v>0</v>
      </c>
      <c r="AD47" s="24"/>
      <c r="AE47" s="25">
        <f t="shared" si="10"/>
        <v>0</v>
      </c>
      <c r="AF47" s="3">
        <f t="shared" si="1"/>
        <v>18</v>
      </c>
      <c r="AG47" s="24">
        <f t="shared" si="2"/>
        <v>0</v>
      </c>
      <c r="AH47" s="25">
        <f t="shared" si="11"/>
        <v>18</v>
      </c>
    </row>
    <row r="48" s="8" customFormat="1" spans="1:34">
      <c r="A48" s="3" t="s">
        <v>29</v>
      </c>
      <c r="B48" s="5" t="s">
        <v>6</v>
      </c>
      <c r="C48" s="3" t="s">
        <v>30</v>
      </c>
      <c r="D48" s="3" t="s">
        <v>77</v>
      </c>
      <c r="E48" s="5">
        <v>0</v>
      </c>
      <c r="F48" s="24"/>
      <c r="G48" s="25">
        <f t="shared" si="0"/>
        <v>0</v>
      </c>
      <c r="H48" s="5">
        <v>0</v>
      </c>
      <c r="I48" s="24"/>
      <c r="J48" s="25">
        <f t="shared" si="3"/>
        <v>0</v>
      </c>
      <c r="K48" s="5">
        <v>0</v>
      </c>
      <c r="L48" s="24"/>
      <c r="M48" s="25">
        <f t="shared" si="4"/>
        <v>0</v>
      </c>
      <c r="N48" s="5">
        <v>1</v>
      </c>
      <c r="O48" s="24"/>
      <c r="P48" s="25">
        <f t="shared" si="5"/>
        <v>1</v>
      </c>
      <c r="Q48" s="5">
        <v>3</v>
      </c>
      <c r="R48" s="24"/>
      <c r="S48" s="25">
        <f t="shared" si="6"/>
        <v>3</v>
      </c>
      <c r="T48" s="5">
        <v>0</v>
      </c>
      <c r="U48" s="24"/>
      <c r="V48" s="25">
        <f t="shared" si="7"/>
        <v>0</v>
      </c>
      <c r="W48" s="5">
        <v>0</v>
      </c>
      <c r="X48" s="24"/>
      <c r="Y48" s="25">
        <f t="shared" si="8"/>
        <v>0</v>
      </c>
      <c r="Z48" s="5">
        <v>0</v>
      </c>
      <c r="AA48" s="24"/>
      <c r="AB48" s="25">
        <f t="shared" si="9"/>
        <v>0</v>
      </c>
      <c r="AC48" s="5">
        <v>0</v>
      </c>
      <c r="AD48" s="24"/>
      <c r="AE48" s="25">
        <f t="shared" si="10"/>
        <v>0</v>
      </c>
      <c r="AF48" s="3">
        <f t="shared" si="1"/>
        <v>8</v>
      </c>
      <c r="AG48" s="24">
        <f t="shared" si="2"/>
        <v>0</v>
      </c>
      <c r="AH48" s="25">
        <f t="shared" si="11"/>
        <v>8</v>
      </c>
    </row>
    <row r="49" s="8" customFormat="1" spans="1:34">
      <c r="A49" s="3" t="s">
        <v>29</v>
      </c>
      <c r="B49" s="5" t="s">
        <v>6</v>
      </c>
      <c r="C49" s="3" t="s">
        <v>30</v>
      </c>
      <c r="D49" s="3" t="s">
        <v>78</v>
      </c>
      <c r="E49" s="5">
        <v>0</v>
      </c>
      <c r="F49" s="24"/>
      <c r="G49" s="25">
        <f t="shared" si="0"/>
        <v>0</v>
      </c>
      <c r="H49" s="5">
        <v>0</v>
      </c>
      <c r="I49" s="24"/>
      <c r="J49" s="25">
        <f t="shared" si="3"/>
        <v>0</v>
      </c>
      <c r="K49" s="5">
        <v>7</v>
      </c>
      <c r="L49" s="24"/>
      <c r="M49" s="25">
        <f t="shared" si="4"/>
        <v>7</v>
      </c>
      <c r="N49" s="5">
        <v>1</v>
      </c>
      <c r="O49" s="24"/>
      <c r="P49" s="25">
        <f t="shared" si="5"/>
        <v>1</v>
      </c>
      <c r="Q49" s="5">
        <f>6</f>
        <v>6</v>
      </c>
      <c r="R49" s="24"/>
      <c r="S49" s="25">
        <f t="shared" si="6"/>
        <v>6</v>
      </c>
      <c r="T49" s="5">
        <v>1</v>
      </c>
      <c r="U49" s="24">
        <v>1</v>
      </c>
      <c r="V49" s="25">
        <f t="shared" si="7"/>
        <v>0</v>
      </c>
      <c r="W49" s="5">
        <v>3</v>
      </c>
      <c r="X49" s="24"/>
      <c r="Y49" s="25">
        <f t="shared" si="8"/>
        <v>3</v>
      </c>
      <c r="Z49" s="5">
        <v>4</v>
      </c>
      <c r="AA49" s="24"/>
      <c r="AB49" s="25">
        <f t="shared" si="9"/>
        <v>4</v>
      </c>
      <c r="AC49" s="5">
        <v>0</v>
      </c>
      <c r="AD49" s="24"/>
      <c r="AE49" s="25">
        <f t="shared" si="10"/>
        <v>0</v>
      </c>
      <c r="AF49" s="3">
        <f t="shared" si="1"/>
        <v>44</v>
      </c>
      <c r="AG49" s="24">
        <f t="shared" si="2"/>
        <v>1</v>
      </c>
      <c r="AH49" s="25">
        <f t="shared" si="11"/>
        <v>43</v>
      </c>
    </row>
    <row r="50" s="8" customFormat="1" spans="1:34">
      <c r="A50" s="3" t="s">
        <v>29</v>
      </c>
      <c r="B50" s="5" t="s">
        <v>6</v>
      </c>
      <c r="C50" s="3" t="s">
        <v>30</v>
      </c>
      <c r="D50" s="3" t="s">
        <v>79</v>
      </c>
      <c r="E50" s="5">
        <v>0</v>
      </c>
      <c r="F50" s="24"/>
      <c r="G50" s="25">
        <f t="shared" si="0"/>
        <v>0</v>
      </c>
      <c r="H50" s="5">
        <v>0</v>
      </c>
      <c r="I50" s="24"/>
      <c r="J50" s="25">
        <f t="shared" si="3"/>
        <v>0</v>
      </c>
      <c r="K50" s="5">
        <v>0</v>
      </c>
      <c r="L50" s="24"/>
      <c r="M50" s="25">
        <f t="shared" si="4"/>
        <v>0</v>
      </c>
      <c r="N50" s="5">
        <v>8</v>
      </c>
      <c r="O50" s="24"/>
      <c r="P50" s="25">
        <f t="shared" si="5"/>
        <v>8</v>
      </c>
      <c r="Q50" s="5">
        <v>0</v>
      </c>
      <c r="R50" s="24"/>
      <c r="S50" s="25">
        <f t="shared" si="6"/>
        <v>0</v>
      </c>
      <c r="T50" s="5">
        <v>0</v>
      </c>
      <c r="U50" s="24"/>
      <c r="V50" s="25">
        <f t="shared" si="7"/>
        <v>0</v>
      </c>
      <c r="W50" s="5">
        <v>0</v>
      </c>
      <c r="X50" s="24"/>
      <c r="Y50" s="25">
        <f t="shared" si="8"/>
        <v>0</v>
      </c>
      <c r="Z50" s="5">
        <v>0</v>
      </c>
      <c r="AA50" s="24"/>
      <c r="AB50" s="25">
        <f t="shared" si="9"/>
        <v>0</v>
      </c>
      <c r="AC50" s="5">
        <v>0</v>
      </c>
      <c r="AD50" s="24"/>
      <c r="AE50" s="25">
        <f t="shared" si="10"/>
        <v>0</v>
      </c>
      <c r="AF50" s="3">
        <f t="shared" si="1"/>
        <v>16</v>
      </c>
      <c r="AG50" s="24">
        <f t="shared" si="2"/>
        <v>0</v>
      </c>
      <c r="AH50" s="25">
        <f t="shared" si="11"/>
        <v>16</v>
      </c>
    </row>
    <row r="51" s="8" customFormat="1" spans="1:34">
      <c r="A51" s="3" t="s">
        <v>29</v>
      </c>
      <c r="B51" s="5" t="s">
        <v>6</v>
      </c>
      <c r="C51" s="3" t="s">
        <v>30</v>
      </c>
      <c r="D51" s="3" t="s">
        <v>80</v>
      </c>
      <c r="E51" s="5">
        <v>0</v>
      </c>
      <c r="F51" s="24"/>
      <c r="G51" s="25">
        <f t="shared" si="0"/>
        <v>0</v>
      </c>
      <c r="H51" s="5">
        <v>0</v>
      </c>
      <c r="I51" s="24"/>
      <c r="J51" s="25">
        <f t="shared" si="3"/>
        <v>0</v>
      </c>
      <c r="K51" s="5">
        <v>0</v>
      </c>
      <c r="L51" s="24"/>
      <c r="M51" s="25">
        <f t="shared" si="4"/>
        <v>0</v>
      </c>
      <c r="N51" s="5">
        <v>3</v>
      </c>
      <c r="O51" s="24"/>
      <c r="P51" s="25">
        <f t="shared" si="5"/>
        <v>3</v>
      </c>
      <c r="Q51" s="5">
        <v>3</v>
      </c>
      <c r="R51" s="24"/>
      <c r="S51" s="25">
        <f t="shared" si="6"/>
        <v>3</v>
      </c>
      <c r="T51" s="5">
        <v>0</v>
      </c>
      <c r="U51" s="24"/>
      <c r="V51" s="25">
        <f t="shared" si="7"/>
        <v>0</v>
      </c>
      <c r="W51" s="5">
        <v>0</v>
      </c>
      <c r="X51" s="24"/>
      <c r="Y51" s="25">
        <f t="shared" si="8"/>
        <v>0</v>
      </c>
      <c r="Z51" s="5">
        <v>0</v>
      </c>
      <c r="AA51" s="24"/>
      <c r="AB51" s="25">
        <f t="shared" si="9"/>
        <v>0</v>
      </c>
      <c r="AC51" s="5">
        <v>0</v>
      </c>
      <c r="AD51" s="24"/>
      <c r="AE51" s="25">
        <f t="shared" si="10"/>
        <v>0</v>
      </c>
      <c r="AF51" s="3">
        <f t="shared" si="1"/>
        <v>12</v>
      </c>
      <c r="AG51" s="24">
        <f t="shared" si="2"/>
        <v>0</v>
      </c>
      <c r="AH51" s="25">
        <f t="shared" si="11"/>
        <v>12</v>
      </c>
    </row>
    <row r="52" s="8" customFormat="1" spans="1:34">
      <c r="A52" s="3" t="s">
        <v>29</v>
      </c>
      <c r="B52" s="5" t="s">
        <v>6</v>
      </c>
      <c r="C52" s="3" t="s">
        <v>30</v>
      </c>
      <c r="D52" s="3" t="s">
        <v>81</v>
      </c>
      <c r="E52" s="5">
        <v>0</v>
      </c>
      <c r="F52" s="24"/>
      <c r="G52" s="25">
        <f t="shared" si="0"/>
        <v>0</v>
      </c>
      <c r="H52" s="5">
        <v>1</v>
      </c>
      <c r="I52" s="24"/>
      <c r="J52" s="25">
        <f t="shared" si="3"/>
        <v>1</v>
      </c>
      <c r="K52" s="5">
        <v>2</v>
      </c>
      <c r="L52" s="24"/>
      <c r="M52" s="25">
        <f t="shared" si="4"/>
        <v>2</v>
      </c>
      <c r="N52" s="5">
        <v>0</v>
      </c>
      <c r="O52" s="24"/>
      <c r="P52" s="25">
        <f t="shared" si="5"/>
        <v>0</v>
      </c>
      <c r="Q52" s="5">
        <v>2</v>
      </c>
      <c r="R52" s="24"/>
      <c r="S52" s="25">
        <f t="shared" si="6"/>
        <v>2</v>
      </c>
      <c r="T52" s="5">
        <v>1</v>
      </c>
      <c r="U52" s="24"/>
      <c r="V52" s="25">
        <f t="shared" si="7"/>
        <v>1</v>
      </c>
      <c r="W52" s="5">
        <v>0</v>
      </c>
      <c r="X52" s="24"/>
      <c r="Y52" s="25">
        <f t="shared" si="8"/>
        <v>0</v>
      </c>
      <c r="Z52" s="5">
        <v>0</v>
      </c>
      <c r="AA52" s="24"/>
      <c r="AB52" s="25">
        <f t="shared" si="9"/>
        <v>0</v>
      </c>
      <c r="AC52" s="5">
        <v>0</v>
      </c>
      <c r="AD52" s="24"/>
      <c r="AE52" s="25">
        <f t="shared" si="10"/>
        <v>0</v>
      </c>
      <c r="AF52" s="3">
        <f t="shared" si="1"/>
        <v>12</v>
      </c>
      <c r="AG52" s="24">
        <f t="shared" si="2"/>
        <v>0</v>
      </c>
      <c r="AH52" s="25">
        <f t="shared" si="11"/>
        <v>12</v>
      </c>
    </row>
    <row r="53" s="8" customFormat="1" spans="1:34">
      <c r="A53" s="3" t="s">
        <v>29</v>
      </c>
      <c r="B53" s="5" t="s">
        <v>6</v>
      </c>
      <c r="C53" s="3" t="s">
        <v>30</v>
      </c>
      <c r="D53" s="3" t="s">
        <v>82</v>
      </c>
      <c r="E53" s="5">
        <v>0</v>
      </c>
      <c r="F53" s="24"/>
      <c r="G53" s="25">
        <f t="shared" si="0"/>
        <v>0</v>
      </c>
      <c r="H53" s="5">
        <v>1</v>
      </c>
      <c r="I53" s="24"/>
      <c r="J53" s="25">
        <f t="shared" si="3"/>
        <v>1</v>
      </c>
      <c r="K53" s="5">
        <v>2</v>
      </c>
      <c r="L53" s="24"/>
      <c r="M53" s="25">
        <f t="shared" si="4"/>
        <v>2</v>
      </c>
      <c r="N53" s="5">
        <v>1</v>
      </c>
      <c r="O53" s="24"/>
      <c r="P53" s="25">
        <f t="shared" si="5"/>
        <v>1</v>
      </c>
      <c r="Q53" s="5">
        <v>0</v>
      </c>
      <c r="R53" s="24"/>
      <c r="S53" s="25">
        <f t="shared" si="6"/>
        <v>0</v>
      </c>
      <c r="T53" s="5">
        <v>1</v>
      </c>
      <c r="U53" s="24"/>
      <c r="V53" s="25">
        <f t="shared" si="7"/>
        <v>1</v>
      </c>
      <c r="W53" s="5">
        <v>0</v>
      </c>
      <c r="X53" s="24"/>
      <c r="Y53" s="25">
        <f t="shared" si="8"/>
        <v>0</v>
      </c>
      <c r="Z53" s="5">
        <v>0</v>
      </c>
      <c r="AA53" s="24"/>
      <c r="AB53" s="25">
        <f t="shared" si="9"/>
        <v>0</v>
      </c>
      <c r="AC53" s="5">
        <v>0</v>
      </c>
      <c r="AD53" s="24"/>
      <c r="AE53" s="25">
        <f t="shared" si="10"/>
        <v>0</v>
      </c>
      <c r="AF53" s="3">
        <f t="shared" si="1"/>
        <v>10</v>
      </c>
      <c r="AG53" s="24">
        <f t="shared" si="2"/>
        <v>0</v>
      </c>
      <c r="AH53" s="25">
        <f t="shared" si="11"/>
        <v>10</v>
      </c>
    </row>
    <row r="54" s="8" customFormat="1" spans="1:34">
      <c r="A54" s="3" t="s">
        <v>29</v>
      </c>
      <c r="B54" s="5" t="s">
        <v>6</v>
      </c>
      <c r="C54" s="3" t="s">
        <v>30</v>
      </c>
      <c r="D54" s="3" t="s">
        <v>83</v>
      </c>
      <c r="E54" s="5">
        <v>0</v>
      </c>
      <c r="F54" s="24"/>
      <c r="G54" s="25">
        <f t="shared" si="0"/>
        <v>0</v>
      </c>
      <c r="H54" s="5">
        <v>1</v>
      </c>
      <c r="I54" s="24"/>
      <c r="J54" s="25">
        <f t="shared" si="3"/>
        <v>1</v>
      </c>
      <c r="K54" s="5">
        <v>0</v>
      </c>
      <c r="L54" s="24"/>
      <c r="M54" s="25">
        <f t="shared" si="4"/>
        <v>0</v>
      </c>
      <c r="N54" s="5">
        <v>0</v>
      </c>
      <c r="O54" s="24"/>
      <c r="P54" s="25">
        <f t="shared" si="5"/>
        <v>0</v>
      </c>
      <c r="Q54" s="5">
        <v>0</v>
      </c>
      <c r="R54" s="24"/>
      <c r="S54" s="25">
        <f t="shared" si="6"/>
        <v>0</v>
      </c>
      <c r="T54" s="5">
        <v>0</v>
      </c>
      <c r="U54" s="24"/>
      <c r="V54" s="25">
        <f t="shared" si="7"/>
        <v>0</v>
      </c>
      <c r="W54" s="5">
        <v>0</v>
      </c>
      <c r="X54" s="24"/>
      <c r="Y54" s="25">
        <f t="shared" si="8"/>
        <v>0</v>
      </c>
      <c r="Z54" s="5">
        <v>0</v>
      </c>
      <c r="AA54" s="24"/>
      <c r="AB54" s="25">
        <f t="shared" si="9"/>
        <v>0</v>
      </c>
      <c r="AC54" s="5">
        <v>0</v>
      </c>
      <c r="AD54" s="24"/>
      <c r="AE54" s="25">
        <f t="shared" si="10"/>
        <v>0</v>
      </c>
      <c r="AF54" s="3">
        <f t="shared" si="1"/>
        <v>2</v>
      </c>
      <c r="AG54" s="24">
        <f t="shared" si="2"/>
        <v>0</v>
      </c>
      <c r="AH54" s="25">
        <f t="shared" si="11"/>
        <v>2</v>
      </c>
    </row>
    <row r="55" s="8" customFormat="1" spans="1:34">
      <c r="A55" s="3" t="s">
        <v>29</v>
      </c>
      <c r="B55" s="5" t="s">
        <v>6</v>
      </c>
      <c r="C55" s="3" t="s">
        <v>30</v>
      </c>
      <c r="D55" s="3" t="s">
        <v>84</v>
      </c>
      <c r="E55" s="5">
        <v>0</v>
      </c>
      <c r="F55" s="24"/>
      <c r="G55" s="25">
        <f t="shared" si="0"/>
        <v>0</v>
      </c>
      <c r="H55" s="5">
        <v>5</v>
      </c>
      <c r="I55" s="24"/>
      <c r="J55" s="25">
        <f t="shared" si="3"/>
        <v>5</v>
      </c>
      <c r="K55" s="5">
        <v>2</v>
      </c>
      <c r="L55" s="24"/>
      <c r="M55" s="25">
        <f t="shared" si="4"/>
        <v>2</v>
      </c>
      <c r="N55" s="5">
        <v>4</v>
      </c>
      <c r="O55" s="24"/>
      <c r="P55" s="25">
        <f t="shared" si="5"/>
        <v>4</v>
      </c>
      <c r="Q55" s="5">
        <v>3</v>
      </c>
      <c r="R55" s="24"/>
      <c r="S55" s="25">
        <f t="shared" si="6"/>
        <v>3</v>
      </c>
      <c r="T55" s="5">
        <v>3</v>
      </c>
      <c r="U55" s="24"/>
      <c r="V55" s="25">
        <f t="shared" si="7"/>
        <v>3</v>
      </c>
      <c r="W55" s="5">
        <v>0</v>
      </c>
      <c r="X55" s="24"/>
      <c r="Y55" s="25">
        <f t="shared" si="8"/>
        <v>0</v>
      </c>
      <c r="Z55" s="5">
        <v>0</v>
      </c>
      <c r="AA55" s="24"/>
      <c r="AB55" s="25">
        <f t="shared" si="9"/>
        <v>0</v>
      </c>
      <c r="AC55" s="5">
        <v>2</v>
      </c>
      <c r="AD55" s="24"/>
      <c r="AE55" s="25">
        <f t="shared" si="10"/>
        <v>2</v>
      </c>
      <c r="AF55" s="3">
        <f t="shared" si="1"/>
        <v>36</v>
      </c>
      <c r="AG55" s="24">
        <f t="shared" si="2"/>
        <v>0</v>
      </c>
      <c r="AH55" s="25">
        <f t="shared" si="11"/>
        <v>36</v>
      </c>
    </row>
    <row r="56" s="8" customFormat="1" spans="1:34">
      <c r="A56" s="3" t="s">
        <v>29</v>
      </c>
      <c r="B56" s="5" t="s">
        <v>6</v>
      </c>
      <c r="C56" s="3" t="s">
        <v>30</v>
      </c>
      <c r="D56" s="3" t="s">
        <v>85</v>
      </c>
      <c r="E56" s="5">
        <v>0</v>
      </c>
      <c r="F56" s="24"/>
      <c r="G56" s="25">
        <f t="shared" si="0"/>
        <v>0</v>
      </c>
      <c r="H56" s="5">
        <v>2</v>
      </c>
      <c r="I56" s="24"/>
      <c r="J56" s="25">
        <f t="shared" si="3"/>
        <v>2</v>
      </c>
      <c r="K56" s="5">
        <v>0</v>
      </c>
      <c r="L56" s="24"/>
      <c r="M56" s="25">
        <f t="shared" si="4"/>
        <v>0</v>
      </c>
      <c r="N56" s="5">
        <v>1</v>
      </c>
      <c r="O56" s="24"/>
      <c r="P56" s="25">
        <f t="shared" si="5"/>
        <v>1</v>
      </c>
      <c r="Q56" s="5">
        <v>0</v>
      </c>
      <c r="R56" s="24"/>
      <c r="S56" s="25">
        <f t="shared" si="6"/>
        <v>0</v>
      </c>
      <c r="T56" s="5">
        <v>0</v>
      </c>
      <c r="U56" s="24"/>
      <c r="V56" s="25">
        <f t="shared" si="7"/>
        <v>0</v>
      </c>
      <c r="W56" s="5">
        <v>0</v>
      </c>
      <c r="X56" s="24"/>
      <c r="Y56" s="25">
        <f t="shared" si="8"/>
        <v>0</v>
      </c>
      <c r="Z56" s="5">
        <v>0</v>
      </c>
      <c r="AA56" s="24"/>
      <c r="AB56" s="25">
        <f t="shared" si="9"/>
        <v>0</v>
      </c>
      <c r="AC56" s="5">
        <v>0</v>
      </c>
      <c r="AD56" s="24"/>
      <c r="AE56" s="25">
        <f t="shared" si="10"/>
        <v>0</v>
      </c>
      <c r="AF56" s="3">
        <f t="shared" si="1"/>
        <v>6</v>
      </c>
      <c r="AG56" s="24">
        <f t="shared" si="2"/>
        <v>0</v>
      </c>
      <c r="AH56" s="25">
        <f t="shared" si="11"/>
        <v>6</v>
      </c>
    </row>
    <row r="57" s="8" customFormat="1" spans="1:34">
      <c r="A57" s="3" t="s">
        <v>29</v>
      </c>
      <c r="B57" s="5" t="s">
        <v>6</v>
      </c>
      <c r="C57" s="3" t="s">
        <v>30</v>
      </c>
      <c r="D57" s="3" t="s">
        <v>86</v>
      </c>
      <c r="E57" s="5">
        <v>0</v>
      </c>
      <c r="F57" s="24"/>
      <c r="G57" s="25">
        <f t="shared" si="0"/>
        <v>0</v>
      </c>
      <c r="H57" s="5">
        <v>1</v>
      </c>
      <c r="I57" s="24"/>
      <c r="J57" s="25">
        <f t="shared" si="3"/>
        <v>1</v>
      </c>
      <c r="K57" s="5">
        <v>1</v>
      </c>
      <c r="L57" s="24"/>
      <c r="M57" s="25">
        <f t="shared" si="4"/>
        <v>1</v>
      </c>
      <c r="N57" s="5">
        <v>0</v>
      </c>
      <c r="O57" s="24"/>
      <c r="P57" s="25">
        <f t="shared" si="5"/>
        <v>0</v>
      </c>
      <c r="Q57" s="5">
        <v>0</v>
      </c>
      <c r="R57" s="24"/>
      <c r="S57" s="25">
        <f t="shared" si="6"/>
        <v>0</v>
      </c>
      <c r="T57" s="5">
        <v>0</v>
      </c>
      <c r="U57" s="24"/>
      <c r="V57" s="25">
        <f t="shared" si="7"/>
        <v>0</v>
      </c>
      <c r="W57" s="5">
        <v>0</v>
      </c>
      <c r="X57" s="24"/>
      <c r="Y57" s="25">
        <f t="shared" si="8"/>
        <v>0</v>
      </c>
      <c r="Z57" s="5">
        <v>0</v>
      </c>
      <c r="AA57" s="24"/>
      <c r="AB57" s="25">
        <f t="shared" si="9"/>
        <v>0</v>
      </c>
      <c r="AC57" s="5">
        <v>0</v>
      </c>
      <c r="AD57" s="24"/>
      <c r="AE57" s="25">
        <f t="shared" si="10"/>
        <v>0</v>
      </c>
      <c r="AF57" s="3">
        <f t="shared" si="1"/>
        <v>4</v>
      </c>
      <c r="AG57" s="24">
        <f t="shared" si="2"/>
        <v>0</v>
      </c>
      <c r="AH57" s="25">
        <f t="shared" si="11"/>
        <v>4</v>
      </c>
    </row>
    <row r="58" s="8" customFormat="1" spans="1:34">
      <c r="A58" s="3" t="s">
        <v>29</v>
      </c>
      <c r="B58" s="5" t="s">
        <v>6</v>
      </c>
      <c r="C58" s="3" t="s">
        <v>30</v>
      </c>
      <c r="D58" s="3" t="s">
        <v>87</v>
      </c>
      <c r="E58" s="5">
        <v>0</v>
      </c>
      <c r="F58" s="24"/>
      <c r="G58" s="25">
        <f t="shared" si="0"/>
        <v>0</v>
      </c>
      <c r="H58" s="5">
        <v>1</v>
      </c>
      <c r="I58" s="24"/>
      <c r="J58" s="25">
        <f t="shared" si="3"/>
        <v>1</v>
      </c>
      <c r="K58" s="5">
        <v>0</v>
      </c>
      <c r="L58" s="24"/>
      <c r="M58" s="25">
        <f t="shared" si="4"/>
        <v>0</v>
      </c>
      <c r="N58" s="5">
        <v>0</v>
      </c>
      <c r="O58" s="24"/>
      <c r="P58" s="25">
        <f t="shared" si="5"/>
        <v>0</v>
      </c>
      <c r="Q58" s="5">
        <v>0</v>
      </c>
      <c r="R58" s="24"/>
      <c r="S58" s="25">
        <f t="shared" si="6"/>
        <v>0</v>
      </c>
      <c r="T58" s="5">
        <v>0</v>
      </c>
      <c r="U58" s="24"/>
      <c r="V58" s="25">
        <f t="shared" si="7"/>
        <v>0</v>
      </c>
      <c r="W58" s="5">
        <v>0</v>
      </c>
      <c r="X58" s="24"/>
      <c r="Y58" s="25">
        <f t="shared" si="8"/>
        <v>0</v>
      </c>
      <c r="Z58" s="5">
        <v>0</v>
      </c>
      <c r="AA58" s="24"/>
      <c r="AB58" s="25">
        <f t="shared" si="9"/>
        <v>0</v>
      </c>
      <c r="AC58" s="5">
        <v>0</v>
      </c>
      <c r="AD58" s="24"/>
      <c r="AE58" s="25">
        <f t="shared" si="10"/>
        <v>0</v>
      </c>
      <c r="AF58" s="3">
        <f t="shared" si="1"/>
        <v>2</v>
      </c>
      <c r="AG58" s="24">
        <f t="shared" si="2"/>
        <v>0</v>
      </c>
      <c r="AH58" s="25">
        <f t="shared" si="11"/>
        <v>2</v>
      </c>
    </row>
    <row r="59" customFormat="1" spans="1:34">
      <c r="A59" s="3"/>
      <c r="B59" s="3"/>
      <c r="C59" s="3"/>
      <c r="D59" s="3"/>
      <c r="E59" s="5">
        <f t="shared" ref="E59:AH59" si="12">SUM(E2:E58)</f>
        <v>50</v>
      </c>
      <c r="F59" s="24">
        <f t="shared" si="12"/>
        <v>0</v>
      </c>
      <c r="G59" s="25">
        <f t="shared" si="12"/>
        <v>50</v>
      </c>
      <c r="H59" s="5">
        <f t="shared" si="12"/>
        <v>87</v>
      </c>
      <c r="I59" s="24">
        <f t="shared" si="12"/>
        <v>0</v>
      </c>
      <c r="J59" s="25">
        <f t="shared" si="12"/>
        <v>87</v>
      </c>
      <c r="K59" s="5">
        <f t="shared" si="12"/>
        <v>135</v>
      </c>
      <c r="L59" s="24">
        <f t="shared" si="12"/>
        <v>0</v>
      </c>
      <c r="M59" s="25">
        <f t="shared" si="12"/>
        <v>135</v>
      </c>
      <c r="N59" s="5">
        <f t="shared" si="12"/>
        <v>140</v>
      </c>
      <c r="O59" s="24">
        <f t="shared" si="12"/>
        <v>1</v>
      </c>
      <c r="P59" s="25">
        <f t="shared" si="12"/>
        <v>139</v>
      </c>
      <c r="Q59" s="5">
        <f t="shared" si="12"/>
        <v>145</v>
      </c>
      <c r="R59" s="24">
        <f t="shared" si="12"/>
        <v>0</v>
      </c>
      <c r="S59" s="25">
        <f t="shared" si="12"/>
        <v>145</v>
      </c>
      <c r="T59" s="5">
        <f t="shared" si="12"/>
        <v>81</v>
      </c>
      <c r="U59" s="24">
        <f t="shared" si="12"/>
        <v>2</v>
      </c>
      <c r="V59" s="25">
        <f t="shared" si="12"/>
        <v>79</v>
      </c>
      <c r="W59" s="5">
        <f t="shared" si="12"/>
        <v>19</v>
      </c>
      <c r="X59" s="24">
        <f t="shared" si="12"/>
        <v>0</v>
      </c>
      <c r="Y59" s="25">
        <f t="shared" si="12"/>
        <v>19</v>
      </c>
      <c r="Z59" s="5">
        <f t="shared" si="12"/>
        <v>18</v>
      </c>
      <c r="AA59" s="24">
        <f t="shared" si="12"/>
        <v>0</v>
      </c>
      <c r="AB59" s="25">
        <f t="shared" si="12"/>
        <v>18</v>
      </c>
      <c r="AC59" s="5">
        <f t="shared" si="12"/>
        <v>3</v>
      </c>
      <c r="AD59" s="24">
        <f t="shared" si="12"/>
        <v>0</v>
      </c>
      <c r="AE59" s="25">
        <f t="shared" si="12"/>
        <v>3</v>
      </c>
      <c r="AF59" s="3">
        <f t="shared" si="12"/>
        <v>1353</v>
      </c>
      <c r="AG59" s="24">
        <f t="shared" si="12"/>
        <v>3</v>
      </c>
      <c r="AH59" s="25">
        <f t="shared" si="12"/>
        <v>1350</v>
      </c>
    </row>
  </sheetData>
  <autoFilter xmlns:etc="http://www.wps.cn/officeDocument/2017/etCustomData" ref="A1:AH59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48576"/>
  <sheetViews>
    <sheetView topLeftCell="B1" workbookViewId="0">
      <pane ySplit="1" topLeftCell="A49" activePane="bottomLeft" state="frozen"/>
      <selection/>
      <selection pane="bottomLeft" activeCell="D69" sqref="D69"/>
    </sheetView>
  </sheetViews>
  <sheetFormatPr defaultColWidth="9.14285714285714" defaultRowHeight="15"/>
  <cols>
    <col min="1" max="1" width="11.8571428571429" style="8" customWidth="1"/>
    <col min="2" max="2" width="22.5714285714286" style="8" customWidth="1"/>
    <col min="3" max="3" width="18.1428571428571" style="8" customWidth="1"/>
    <col min="4" max="4" width="9.14285714285714" style="8"/>
    <col min="5" max="5" width="15.8571428571429" style="8" customWidth="1"/>
    <col min="6" max="14" width="9.14285714285714" style="8"/>
    <col min="15" max="15" width="12.2857142857143" style="4" customWidth="1"/>
    <col min="16" max="16384" width="9.14285714285714" style="8"/>
  </cols>
  <sheetData>
    <row r="1" s="8" customFormat="1" spans="1:15">
      <c r="A1" s="2" t="s">
        <v>1</v>
      </c>
      <c r="B1" s="2" t="s">
        <v>2</v>
      </c>
      <c r="C1" s="2" t="s">
        <v>3</v>
      </c>
      <c r="D1" s="2" t="s">
        <v>88</v>
      </c>
      <c r="E1" s="2" t="s">
        <v>25</v>
      </c>
      <c r="F1" s="3">
        <v>28</v>
      </c>
      <c r="G1" s="3">
        <v>30</v>
      </c>
      <c r="H1" s="3">
        <v>32</v>
      </c>
      <c r="I1" s="3">
        <v>34</v>
      </c>
      <c r="J1" s="3">
        <v>36</v>
      </c>
      <c r="K1" s="3">
        <v>38</v>
      </c>
      <c r="L1" s="3">
        <v>40</v>
      </c>
      <c r="M1" s="3">
        <v>42</v>
      </c>
      <c r="N1" s="3">
        <v>44</v>
      </c>
      <c r="O1" s="3" t="s">
        <v>4</v>
      </c>
    </row>
    <row r="2" s="8" customFormat="1" spans="1:15">
      <c r="A2" s="2" t="s">
        <v>29</v>
      </c>
      <c r="B2" s="9" t="s">
        <v>8</v>
      </c>
      <c r="C2" s="2" t="s">
        <v>89</v>
      </c>
      <c r="D2" s="2" t="s">
        <v>31</v>
      </c>
      <c r="E2" s="2" t="s">
        <v>31</v>
      </c>
      <c r="F2" s="3">
        <v>0</v>
      </c>
      <c r="G2" s="3">
        <v>0</v>
      </c>
      <c r="H2" s="3">
        <v>8</v>
      </c>
      <c r="I2" s="3">
        <v>5</v>
      </c>
      <c r="J2" s="3">
        <v>5</v>
      </c>
      <c r="K2" s="3">
        <v>9</v>
      </c>
      <c r="L2" s="3">
        <v>10</v>
      </c>
      <c r="M2" s="3">
        <v>0</v>
      </c>
      <c r="N2" s="3">
        <v>0</v>
      </c>
      <c r="O2" s="3">
        <f t="shared" ref="O2:O56" si="0">SUM(F2:N2)</f>
        <v>37</v>
      </c>
    </row>
    <row r="3" s="8" customFormat="1" spans="1:15">
      <c r="A3" s="2" t="s">
        <v>29</v>
      </c>
      <c r="B3" s="9" t="s">
        <v>8</v>
      </c>
      <c r="C3" s="2" t="s">
        <v>89</v>
      </c>
      <c r="D3" s="2" t="s">
        <v>90</v>
      </c>
      <c r="E3" s="2" t="s">
        <v>32</v>
      </c>
      <c r="F3" s="3">
        <v>0</v>
      </c>
      <c r="G3" s="3">
        <v>0</v>
      </c>
      <c r="H3" s="3">
        <v>2</v>
      </c>
      <c r="I3" s="3">
        <v>5</v>
      </c>
      <c r="J3" s="3">
        <v>5</v>
      </c>
      <c r="K3" s="3">
        <v>3</v>
      </c>
      <c r="L3" s="3">
        <v>3</v>
      </c>
      <c r="M3" s="3">
        <v>0</v>
      </c>
      <c r="N3" s="3">
        <v>0</v>
      </c>
      <c r="O3" s="3">
        <f t="shared" si="0"/>
        <v>18</v>
      </c>
    </row>
    <row r="4" s="8" customFormat="1" spans="1:15">
      <c r="A4" s="2" t="s">
        <v>29</v>
      </c>
      <c r="B4" s="9" t="s">
        <v>8</v>
      </c>
      <c r="C4" s="2" t="s">
        <v>89</v>
      </c>
      <c r="D4" s="2" t="s">
        <v>90</v>
      </c>
      <c r="E4" s="2" t="s">
        <v>33</v>
      </c>
      <c r="F4" s="3">
        <v>0</v>
      </c>
      <c r="G4" s="3">
        <v>0</v>
      </c>
      <c r="H4" s="3">
        <v>1</v>
      </c>
      <c r="I4" s="3">
        <v>3</v>
      </c>
      <c r="J4" s="3">
        <v>0</v>
      </c>
      <c r="K4" s="3">
        <v>0</v>
      </c>
      <c r="L4" s="3">
        <v>4</v>
      </c>
      <c r="M4" s="3">
        <v>0</v>
      </c>
      <c r="N4" s="3">
        <v>0</v>
      </c>
      <c r="O4" s="3">
        <f t="shared" si="0"/>
        <v>8</v>
      </c>
    </row>
    <row r="5" s="8" customFormat="1" spans="1:15">
      <c r="A5" s="2" t="s">
        <v>29</v>
      </c>
      <c r="B5" s="9" t="s">
        <v>8</v>
      </c>
      <c r="C5" s="2" t="s">
        <v>89</v>
      </c>
      <c r="D5" s="2" t="s">
        <v>91</v>
      </c>
      <c r="E5" s="2" t="s">
        <v>34</v>
      </c>
      <c r="F5" s="3">
        <v>0</v>
      </c>
      <c r="G5" s="3">
        <v>0</v>
      </c>
      <c r="H5" s="3">
        <v>7</v>
      </c>
      <c r="I5" s="3">
        <v>6</v>
      </c>
      <c r="J5" s="3">
        <v>4</v>
      </c>
      <c r="K5" s="3">
        <v>7</v>
      </c>
      <c r="L5" s="3">
        <v>5</v>
      </c>
      <c r="M5" s="3">
        <v>0</v>
      </c>
      <c r="N5" s="3">
        <v>0</v>
      </c>
      <c r="O5" s="3">
        <f t="shared" si="0"/>
        <v>29</v>
      </c>
    </row>
    <row r="6" s="8" customFormat="1" spans="1:15">
      <c r="A6" s="2" t="s">
        <v>29</v>
      </c>
      <c r="B6" s="9" t="s">
        <v>8</v>
      </c>
      <c r="C6" s="2" t="s">
        <v>89</v>
      </c>
      <c r="D6" s="2" t="s">
        <v>91</v>
      </c>
      <c r="E6" s="2" t="s">
        <v>35</v>
      </c>
      <c r="F6" s="3">
        <v>0</v>
      </c>
      <c r="G6" s="3">
        <v>0</v>
      </c>
      <c r="H6" s="3">
        <v>1</v>
      </c>
      <c r="I6" s="3">
        <v>1</v>
      </c>
      <c r="J6" s="3">
        <v>1</v>
      </c>
      <c r="K6" s="3">
        <v>0</v>
      </c>
      <c r="L6" s="3">
        <v>2</v>
      </c>
      <c r="M6" s="3">
        <v>0</v>
      </c>
      <c r="N6" s="3">
        <v>0</v>
      </c>
      <c r="O6" s="3">
        <f t="shared" si="0"/>
        <v>5</v>
      </c>
    </row>
    <row r="7" s="8" customFormat="1" spans="1:15">
      <c r="A7" s="2" t="s">
        <v>29</v>
      </c>
      <c r="B7" s="9" t="s">
        <v>8</v>
      </c>
      <c r="C7" s="2" t="s">
        <v>89</v>
      </c>
      <c r="D7" s="2" t="s">
        <v>92</v>
      </c>
      <c r="E7" s="2" t="s">
        <v>36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f t="shared" si="0"/>
        <v>0</v>
      </c>
    </row>
    <row r="8" s="8" customFormat="1" spans="1:15">
      <c r="A8" s="2" t="s">
        <v>29</v>
      </c>
      <c r="B8" s="9" t="s">
        <v>8</v>
      </c>
      <c r="C8" s="2" t="s">
        <v>89</v>
      </c>
      <c r="D8" s="2" t="s">
        <v>91</v>
      </c>
      <c r="E8" s="2" t="s">
        <v>37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f t="shared" si="0"/>
        <v>0</v>
      </c>
    </row>
    <row r="9" s="8" customFormat="1" spans="1:15">
      <c r="A9" s="2" t="s">
        <v>29</v>
      </c>
      <c r="B9" s="9" t="s">
        <v>8</v>
      </c>
      <c r="C9" s="2" t="s">
        <v>89</v>
      </c>
      <c r="D9" s="2" t="s">
        <v>91</v>
      </c>
      <c r="E9" s="2" t="s">
        <v>38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f t="shared" si="0"/>
        <v>0</v>
      </c>
    </row>
    <row r="10" s="8" customFormat="1" spans="1:15">
      <c r="A10" s="2" t="s">
        <v>29</v>
      </c>
      <c r="B10" s="9" t="s">
        <v>8</v>
      </c>
      <c r="C10" s="2" t="s">
        <v>89</v>
      </c>
      <c r="D10" s="2" t="s">
        <v>91</v>
      </c>
      <c r="E10" s="2" t="s">
        <v>39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 t="shared" si="0"/>
        <v>0</v>
      </c>
    </row>
    <row r="11" s="8" customFormat="1" spans="1:15">
      <c r="A11" s="2" t="s">
        <v>29</v>
      </c>
      <c r="B11" s="9" t="s">
        <v>8</v>
      </c>
      <c r="C11" s="2" t="s">
        <v>89</v>
      </c>
      <c r="D11" s="2" t="s">
        <v>91</v>
      </c>
      <c r="E11" s="2" t="s">
        <v>40</v>
      </c>
      <c r="F11" s="3">
        <v>0</v>
      </c>
      <c r="G11" s="3">
        <v>0</v>
      </c>
      <c r="H11" s="3">
        <v>6</v>
      </c>
      <c r="I11" s="3">
        <v>4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f t="shared" si="0"/>
        <v>12</v>
      </c>
    </row>
    <row r="12" s="8" customFormat="1" spans="1:15">
      <c r="A12" s="2" t="s">
        <v>29</v>
      </c>
      <c r="B12" s="9" t="s">
        <v>8</v>
      </c>
      <c r="C12" s="2" t="s">
        <v>89</v>
      </c>
      <c r="D12" s="2" t="s">
        <v>92</v>
      </c>
      <c r="E12" s="2" t="s">
        <v>42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f t="shared" si="0"/>
        <v>0</v>
      </c>
    </row>
    <row r="13" s="8" customFormat="1" spans="1:15">
      <c r="A13" s="2" t="s">
        <v>29</v>
      </c>
      <c r="B13" s="9" t="s">
        <v>8</v>
      </c>
      <c r="C13" s="2" t="s">
        <v>89</v>
      </c>
      <c r="D13" s="2" t="s">
        <v>92</v>
      </c>
      <c r="E13" s="2" t="s">
        <v>49</v>
      </c>
      <c r="F13" s="3">
        <v>0</v>
      </c>
      <c r="G13" s="3">
        <v>0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f t="shared" si="0"/>
        <v>1</v>
      </c>
    </row>
    <row r="14" s="8" customFormat="1" spans="1:15">
      <c r="A14" s="2" t="s">
        <v>29</v>
      </c>
      <c r="B14" s="9" t="s">
        <v>8</v>
      </c>
      <c r="C14" s="2" t="s">
        <v>89</v>
      </c>
      <c r="D14" s="2" t="s">
        <v>92</v>
      </c>
      <c r="E14" s="2" t="s">
        <v>41</v>
      </c>
      <c r="F14" s="3">
        <v>0</v>
      </c>
      <c r="G14" s="3">
        <v>0</v>
      </c>
      <c r="H14" s="3">
        <v>1</v>
      </c>
      <c r="I14" s="3">
        <v>4</v>
      </c>
      <c r="J14" s="3">
        <v>4</v>
      </c>
      <c r="K14" s="3">
        <v>1</v>
      </c>
      <c r="L14" s="3">
        <v>3</v>
      </c>
      <c r="M14" s="3">
        <v>0</v>
      </c>
      <c r="N14" s="3">
        <v>0</v>
      </c>
      <c r="O14" s="3">
        <f t="shared" si="0"/>
        <v>13</v>
      </c>
    </row>
    <row r="15" s="8" customFormat="1" spans="1:15">
      <c r="A15" s="2" t="s">
        <v>29</v>
      </c>
      <c r="B15" s="9" t="s">
        <v>8</v>
      </c>
      <c r="C15" s="2" t="s">
        <v>89</v>
      </c>
      <c r="D15" s="2" t="s">
        <v>92</v>
      </c>
      <c r="E15" s="2" t="s">
        <v>44</v>
      </c>
      <c r="F15" s="3">
        <v>0</v>
      </c>
      <c r="G15" s="3">
        <v>0</v>
      </c>
      <c r="H15" s="3">
        <v>0</v>
      </c>
      <c r="I15" s="3">
        <v>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f t="shared" si="0"/>
        <v>1</v>
      </c>
    </row>
    <row r="16" s="8" customFormat="1" spans="1:15">
      <c r="A16" s="2" t="s">
        <v>29</v>
      </c>
      <c r="B16" s="9" t="s">
        <v>8</v>
      </c>
      <c r="C16" s="2" t="s">
        <v>89</v>
      </c>
      <c r="D16" s="2" t="s">
        <v>92</v>
      </c>
      <c r="E16" s="2" t="s">
        <v>43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f t="shared" si="0"/>
        <v>0</v>
      </c>
    </row>
    <row r="17" s="8" customFormat="1" spans="1:15">
      <c r="A17" s="2" t="s">
        <v>29</v>
      </c>
      <c r="B17" s="9" t="s">
        <v>8</v>
      </c>
      <c r="C17" s="2" t="s">
        <v>89</v>
      </c>
      <c r="D17" s="2" t="s">
        <v>92</v>
      </c>
      <c r="E17" s="2" t="s">
        <v>45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f t="shared" si="0"/>
        <v>0</v>
      </c>
    </row>
    <row r="18" s="8" customFormat="1" spans="1:15">
      <c r="A18" s="2" t="s">
        <v>29</v>
      </c>
      <c r="B18" s="9" t="s">
        <v>8</v>
      </c>
      <c r="C18" s="2" t="s">
        <v>89</v>
      </c>
      <c r="D18" s="2" t="s">
        <v>92</v>
      </c>
      <c r="E18" s="2" t="s">
        <v>46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f t="shared" si="0"/>
        <v>0</v>
      </c>
    </row>
    <row r="19" s="8" customFormat="1" spans="1:15">
      <c r="A19" s="2" t="s">
        <v>29</v>
      </c>
      <c r="B19" s="9" t="s">
        <v>8</v>
      </c>
      <c r="C19" s="2" t="s">
        <v>89</v>
      </c>
      <c r="D19" s="2" t="s">
        <v>92</v>
      </c>
      <c r="E19" s="2" t="s">
        <v>54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f t="shared" si="0"/>
        <v>0</v>
      </c>
    </row>
    <row r="20" s="8" customFormat="1" spans="1:15">
      <c r="A20" s="2" t="s">
        <v>29</v>
      </c>
      <c r="B20" s="9" t="s">
        <v>8</v>
      </c>
      <c r="C20" s="2" t="s">
        <v>89</v>
      </c>
      <c r="D20" s="2" t="s">
        <v>92</v>
      </c>
      <c r="E20" s="2" t="s">
        <v>50</v>
      </c>
      <c r="F20" s="3">
        <v>0</v>
      </c>
      <c r="G20" s="3">
        <v>0</v>
      </c>
      <c r="H20" s="3">
        <v>3</v>
      </c>
      <c r="I20" s="3">
        <v>5</v>
      </c>
      <c r="J20" s="3">
        <v>4</v>
      </c>
      <c r="K20" s="3">
        <v>2</v>
      </c>
      <c r="L20" s="3">
        <v>4</v>
      </c>
      <c r="M20" s="3">
        <v>0</v>
      </c>
      <c r="N20" s="3">
        <v>0</v>
      </c>
      <c r="O20" s="3">
        <f t="shared" si="0"/>
        <v>18</v>
      </c>
    </row>
    <row r="21" s="8" customFormat="1" spans="1:15">
      <c r="A21" s="2" t="s">
        <v>29</v>
      </c>
      <c r="B21" s="9" t="s">
        <v>8</v>
      </c>
      <c r="C21" s="2" t="s">
        <v>89</v>
      </c>
      <c r="D21" s="2" t="s">
        <v>92</v>
      </c>
      <c r="E21" s="2" t="s">
        <v>51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f t="shared" si="0"/>
        <v>0</v>
      </c>
    </row>
    <row r="22" s="8" customFormat="1" spans="1:15">
      <c r="A22" s="2" t="s">
        <v>29</v>
      </c>
      <c r="B22" s="9" t="s">
        <v>8</v>
      </c>
      <c r="C22" s="2" t="s">
        <v>89</v>
      </c>
      <c r="D22" s="2" t="s">
        <v>92</v>
      </c>
      <c r="E22" s="2" t="s">
        <v>53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f t="shared" si="0"/>
        <v>0</v>
      </c>
    </row>
    <row r="23" s="8" customFormat="1" spans="1:15">
      <c r="A23" s="2" t="s">
        <v>29</v>
      </c>
      <c r="B23" s="9" t="s">
        <v>8</v>
      </c>
      <c r="C23" s="2" t="s">
        <v>89</v>
      </c>
      <c r="D23" s="2" t="s">
        <v>92</v>
      </c>
      <c r="E23" s="2" t="s">
        <v>47</v>
      </c>
      <c r="F23" s="3">
        <v>0</v>
      </c>
      <c r="G23" s="3">
        <v>0</v>
      </c>
      <c r="H23" s="3">
        <v>1</v>
      </c>
      <c r="I23" s="3">
        <v>2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f t="shared" si="0"/>
        <v>5</v>
      </c>
    </row>
    <row r="24" s="8" customFormat="1" spans="1:15">
      <c r="A24" s="2" t="s">
        <v>29</v>
      </c>
      <c r="B24" s="9" t="s">
        <v>8</v>
      </c>
      <c r="C24" s="2" t="s">
        <v>89</v>
      </c>
      <c r="D24" s="2" t="s">
        <v>92</v>
      </c>
      <c r="E24" s="2" t="s">
        <v>52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f t="shared" si="0"/>
        <v>0</v>
      </c>
    </row>
    <row r="25" s="8" customFormat="1" spans="1:15">
      <c r="A25" s="2" t="s">
        <v>29</v>
      </c>
      <c r="B25" s="9" t="s">
        <v>8</v>
      </c>
      <c r="C25" s="2" t="s">
        <v>89</v>
      </c>
      <c r="D25" s="2" t="s">
        <v>92</v>
      </c>
      <c r="E25" s="2" t="s">
        <v>48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f t="shared" si="0"/>
        <v>0</v>
      </c>
    </row>
    <row r="26" s="8" customFormat="1" spans="1:15">
      <c r="A26" s="2" t="s">
        <v>29</v>
      </c>
      <c r="B26" s="9" t="s">
        <v>8</v>
      </c>
      <c r="C26" s="2" t="s">
        <v>89</v>
      </c>
      <c r="D26" s="2" t="s">
        <v>93</v>
      </c>
      <c r="E26" s="2" t="s">
        <v>56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f t="shared" si="0"/>
        <v>0</v>
      </c>
    </row>
    <row r="27" s="8" customFormat="1" spans="1:15">
      <c r="A27" s="2" t="s">
        <v>29</v>
      </c>
      <c r="B27" s="9" t="s">
        <v>8</v>
      </c>
      <c r="C27" s="2" t="s">
        <v>89</v>
      </c>
      <c r="D27" s="2" t="s">
        <v>93</v>
      </c>
      <c r="E27" s="2" t="s">
        <v>55</v>
      </c>
      <c r="F27" s="3">
        <v>0</v>
      </c>
      <c r="G27" s="3">
        <v>0</v>
      </c>
      <c r="H27" s="3">
        <v>1</v>
      </c>
      <c r="I27" s="3">
        <v>2</v>
      </c>
      <c r="J27" s="3">
        <v>2</v>
      </c>
      <c r="K27" s="3">
        <v>2</v>
      </c>
      <c r="L27" s="3">
        <v>2</v>
      </c>
      <c r="M27" s="3">
        <v>0</v>
      </c>
      <c r="N27" s="3">
        <v>0</v>
      </c>
      <c r="O27" s="3">
        <f t="shared" si="0"/>
        <v>9</v>
      </c>
    </row>
    <row r="28" s="8" customFormat="1" spans="1:15">
      <c r="A28" s="2" t="s">
        <v>29</v>
      </c>
      <c r="B28" s="9" t="s">
        <v>8</v>
      </c>
      <c r="C28" s="2" t="s">
        <v>89</v>
      </c>
      <c r="D28" s="2" t="s">
        <v>93</v>
      </c>
      <c r="E28" s="2" t="s">
        <v>57</v>
      </c>
      <c r="F28" s="3">
        <v>0</v>
      </c>
      <c r="G28" s="3">
        <v>0</v>
      </c>
      <c r="H28" s="3">
        <v>2</v>
      </c>
      <c r="I28" s="3">
        <v>2</v>
      </c>
      <c r="J28" s="3">
        <v>4</v>
      </c>
      <c r="K28" s="3">
        <v>1</v>
      </c>
      <c r="L28" s="3">
        <v>0</v>
      </c>
      <c r="M28" s="3">
        <v>0</v>
      </c>
      <c r="N28" s="3">
        <v>0</v>
      </c>
      <c r="O28" s="3">
        <f t="shared" si="0"/>
        <v>9</v>
      </c>
    </row>
    <row r="29" s="8" customFormat="1" spans="1:15">
      <c r="A29" s="2" t="s">
        <v>29</v>
      </c>
      <c r="B29" s="9" t="s">
        <v>8</v>
      </c>
      <c r="C29" s="2" t="s">
        <v>89</v>
      </c>
      <c r="D29" s="2" t="s">
        <v>93</v>
      </c>
      <c r="E29" s="2" t="s">
        <v>60</v>
      </c>
      <c r="F29" s="3">
        <v>0</v>
      </c>
      <c r="G29" s="3">
        <v>0</v>
      </c>
      <c r="H29" s="3">
        <v>3</v>
      </c>
      <c r="I29" s="3">
        <v>4</v>
      </c>
      <c r="J29" s="3">
        <v>3</v>
      </c>
      <c r="K29" s="3">
        <v>5</v>
      </c>
      <c r="L29" s="3">
        <v>5</v>
      </c>
      <c r="M29" s="3">
        <v>2</v>
      </c>
      <c r="N29" s="3">
        <v>0</v>
      </c>
      <c r="O29" s="3">
        <f t="shared" si="0"/>
        <v>22</v>
      </c>
    </row>
    <row r="30" s="8" customFormat="1" spans="1:15">
      <c r="A30" s="2" t="s">
        <v>29</v>
      </c>
      <c r="B30" s="9" t="s">
        <v>8</v>
      </c>
      <c r="C30" s="2" t="s">
        <v>89</v>
      </c>
      <c r="D30" s="2" t="s">
        <v>93</v>
      </c>
      <c r="E30" s="2" t="s">
        <v>58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f t="shared" si="0"/>
        <v>0</v>
      </c>
    </row>
    <row r="31" s="8" customFormat="1" spans="1:15">
      <c r="A31" s="2" t="s">
        <v>29</v>
      </c>
      <c r="B31" s="9" t="s">
        <v>8</v>
      </c>
      <c r="C31" s="2" t="s">
        <v>89</v>
      </c>
      <c r="D31" s="2" t="s">
        <v>93</v>
      </c>
      <c r="E31" s="2" t="s">
        <v>59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f t="shared" si="0"/>
        <v>0</v>
      </c>
    </row>
    <row r="32" s="8" customFormat="1" spans="1:15">
      <c r="A32" s="2" t="s">
        <v>29</v>
      </c>
      <c r="B32" s="9" t="s">
        <v>8</v>
      </c>
      <c r="C32" s="2" t="s">
        <v>89</v>
      </c>
      <c r="D32" s="2" t="s">
        <v>93</v>
      </c>
      <c r="E32" s="2" t="s">
        <v>61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f t="shared" si="0"/>
        <v>0</v>
      </c>
    </row>
    <row r="33" s="8" customFormat="1" spans="1:15">
      <c r="A33" s="2" t="s">
        <v>29</v>
      </c>
      <c r="B33" s="9" t="s">
        <v>8</v>
      </c>
      <c r="C33" s="2" t="s">
        <v>89</v>
      </c>
      <c r="D33" s="2" t="s">
        <v>93</v>
      </c>
      <c r="E33" s="2" t="s">
        <v>62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f t="shared" si="0"/>
        <v>0</v>
      </c>
    </row>
    <row r="34" s="8" customFormat="1" spans="1:15">
      <c r="A34" s="2" t="s">
        <v>29</v>
      </c>
      <c r="B34" s="9" t="s">
        <v>8</v>
      </c>
      <c r="C34" s="2" t="s">
        <v>89</v>
      </c>
      <c r="D34" s="2" t="s">
        <v>63</v>
      </c>
      <c r="E34" s="2" t="s">
        <v>64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f t="shared" si="0"/>
        <v>0</v>
      </c>
    </row>
    <row r="35" s="8" customFormat="1" spans="1:15">
      <c r="A35" s="2" t="s">
        <v>29</v>
      </c>
      <c r="B35" s="9" t="s">
        <v>8</v>
      </c>
      <c r="C35" s="2" t="s">
        <v>89</v>
      </c>
      <c r="D35" s="2" t="s">
        <v>63</v>
      </c>
      <c r="E35" s="2" t="s">
        <v>65</v>
      </c>
      <c r="F35" s="3">
        <v>0</v>
      </c>
      <c r="G35" s="3">
        <v>0</v>
      </c>
      <c r="H35" s="3">
        <v>0</v>
      </c>
      <c r="I35" s="3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f t="shared" si="0"/>
        <v>2</v>
      </c>
    </row>
    <row r="36" s="8" customFormat="1" spans="1:15">
      <c r="A36" s="2" t="s">
        <v>29</v>
      </c>
      <c r="B36" s="9" t="s">
        <v>8</v>
      </c>
      <c r="C36" s="2" t="s">
        <v>89</v>
      </c>
      <c r="D36" s="2" t="s">
        <v>63</v>
      </c>
      <c r="E36" s="2" t="s">
        <v>63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f t="shared" si="0"/>
        <v>0</v>
      </c>
    </row>
    <row r="37" s="8" customFormat="1" spans="1:15">
      <c r="A37" s="2" t="s">
        <v>29</v>
      </c>
      <c r="B37" s="9" t="s">
        <v>8</v>
      </c>
      <c r="C37" s="2" t="s">
        <v>89</v>
      </c>
      <c r="D37" s="2" t="s">
        <v>67</v>
      </c>
      <c r="E37" s="2" t="s">
        <v>72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f t="shared" si="0"/>
        <v>0</v>
      </c>
    </row>
    <row r="38" s="8" customFormat="1" spans="1:15">
      <c r="A38" s="2" t="s">
        <v>29</v>
      </c>
      <c r="B38" s="9" t="s">
        <v>8</v>
      </c>
      <c r="C38" s="2" t="s">
        <v>89</v>
      </c>
      <c r="D38" s="2" t="s">
        <v>67</v>
      </c>
      <c r="E38" s="2" t="s">
        <v>68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f t="shared" si="0"/>
        <v>0</v>
      </c>
    </row>
    <row r="39" s="8" customFormat="1" spans="1:15">
      <c r="A39" s="2" t="s">
        <v>29</v>
      </c>
      <c r="B39" s="9" t="s">
        <v>8</v>
      </c>
      <c r="C39" s="2" t="s">
        <v>89</v>
      </c>
      <c r="D39" s="2" t="s">
        <v>67</v>
      </c>
      <c r="E39" s="2" t="s">
        <v>71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f t="shared" si="0"/>
        <v>0</v>
      </c>
    </row>
    <row r="40" s="8" customFormat="1" spans="1:15">
      <c r="A40" s="2" t="s">
        <v>29</v>
      </c>
      <c r="B40" s="9" t="s">
        <v>8</v>
      </c>
      <c r="C40" s="2" t="s">
        <v>89</v>
      </c>
      <c r="D40" s="2" t="s">
        <v>67</v>
      </c>
      <c r="E40" s="2" t="s">
        <v>67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f t="shared" si="0"/>
        <v>0</v>
      </c>
    </row>
    <row r="41" s="8" customFormat="1" spans="1:15">
      <c r="A41" s="2" t="s">
        <v>29</v>
      </c>
      <c r="B41" s="9" t="s">
        <v>8</v>
      </c>
      <c r="C41" s="2" t="s">
        <v>89</v>
      </c>
      <c r="D41" s="2" t="s">
        <v>94</v>
      </c>
      <c r="E41" s="2" t="s">
        <v>95</v>
      </c>
      <c r="F41" s="3">
        <v>0</v>
      </c>
      <c r="G41" s="3">
        <v>0</v>
      </c>
      <c r="H41" s="3">
        <v>2</v>
      </c>
      <c r="I41" s="3">
        <v>3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f t="shared" si="0"/>
        <v>7</v>
      </c>
    </row>
    <row r="42" s="8" customFormat="1" spans="1:15">
      <c r="A42" s="2" t="s">
        <v>29</v>
      </c>
      <c r="B42" s="9" t="s">
        <v>8</v>
      </c>
      <c r="C42" s="2" t="s">
        <v>89</v>
      </c>
      <c r="D42" s="2" t="s">
        <v>67</v>
      </c>
      <c r="E42" s="2" t="s">
        <v>96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f t="shared" si="0"/>
        <v>0</v>
      </c>
    </row>
    <row r="43" s="8" customFormat="1" spans="1:15">
      <c r="A43" s="2" t="s">
        <v>29</v>
      </c>
      <c r="B43" s="9" t="s">
        <v>8</v>
      </c>
      <c r="C43" s="2" t="s">
        <v>89</v>
      </c>
      <c r="D43" s="2" t="s">
        <v>67</v>
      </c>
      <c r="E43" s="2" t="s">
        <v>70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f t="shared" si="0"/>
        <v>0</v>
      </c>
    </row>
    <row r="44" s="8" customFormat="1" spans="1:15">
      <c r="A44" s="2" t="s">
        <v>29</v>
      </c>
      <c r="B44" s="9" t="s">
        <v>8</v>
      </c>
      <c r="C44" s="2" t="s">
        <v>89</v>
      </c>
      <c r="D44" s="2" t="s">
        <v>94</v>
      </c>
      <c r="E44" s="2" t="s">
        <v>73</v>
      </c>
      <c r="F44" s="3">
        <v>0</v>
      </c>
      <c r="G44" s="3">
        <v>0</v>
      </c>
      <c r="H44" s="3">
        <v>4</v>
      </c>
      <c r="I44" s="3">
        <v>2</v>
      </c>
      <c r="J44" s="3">
        <v>2</v>
      </c>
      <c r="K44" s="3">
        <v>3</v>
      </c>
      <c r="L44" s="3">
        <v>5</v>
      </c>
      <c r="M44" s="3">
        <v>1</v>
      </c>
      <c r="N44" s="3">
        <v>0</v>
      </c>
      <c r="O44" s="3">
        <f t="shared" si="0"/>
        <v>17</v>
      </c>
    </row>
    <row r="45" s="8" customFormat="1" spans="1:15">
      <c r="A45" s="2" t="s">
        <v>29</v>
      </c>
      <c r="B45" s="9" t="s">
        <v>8</v>
      </c>
      <c r="C45" s="2" t="s">
        <v>89</v>
      </c>
      <c r="D45" s="2" t="s">
        <v>94</v>
      </c>
      <c r="E45" s="2" t="s">
        <v>74</v>
      </c>
      <c r="F45" s="3">
        <v>0</v>
      </c>
      <c r="G45" s="3">
        <v>0</v>
      </c>
      <c r="H45" s="3">
        <v>0</v>
      </c>
      <c r="I45" s="3">
        <v>2</v>
      </c>
      <c r="J45" s="3">
        <v>2</v>
      </c>
      <c r="K45" s="3">
        <v>0</v>
      </c>
      <c r="L45" s="3">
        <v>2</v>
      </c>
      <c r="M45" s="3">
        <v>0</v>
      </c>
      <c r="N45" s="3">
        <v>2</v>
      </c>
      <c r="O45" s="3">
        <f t="shared" si="0"/>
        <v>8</v>
      </c>
    </row>
    <row r="46" s="8" customFormat="1" spans="1:15">
      <c r="A46" s="2" t="s">
        <v>29</v>
      </c>
      <c r="B46" s="9" t="s">
        <v>8</v>
      </c>
      <c r="C46" s="2" t="s">
        <v>89</v>
      </c>
      <c r="D46" s="2" t="s">
        <v>94</v>
      </c>
      <c r="E46" s="2" t="s">
        <v>75</v>
      </c>
      <c r="F46" s="3">
        <v>0</v>
      </c>
      <c r="G46" s="3">
        <v>0</v>
      </c>
      <c r="H46" s="3">
        <v>1</v>
      </c>
      <c r="I46" s="3">
        <v>2</v>
      </c>
      <c r="J46" s="3">
        <v>2</v>
      </c>
      <c r="K46" s="3">
        <v>2</v>
      </c>
      <c r="L46" s="3">
        <v>2</v>
      </c>
      <c r="M46" s="3">
        <v>0</v>
      </c>
      <c r="N46" s="3">
        <v>0</v>
      </c>
      <c r="O46" s="3">
        <f t="shared" si="0"/>
        <v>9</v>
      </c>
    </row>
    <row r="47" s="8" customFormat="1" spans="1:15">
      <c r="A47" s="2" t="s">
        <v>29</v>
      </c>
      <c r="B47" s="9" t="s">
        <v>8</v>
      </c>
      <c r="C47" s="2" t="s">
        <v>89</v>
      </c>
      <c r="D47" s="2" t="s">
        <v>94</v>
      </c>
      <c r="E47" s="2" t="s">
        <v>97</v>
      </c>
      <c r="F47" s="3">
        <v>0</v>
      </c>
      <c r="G47" s="3">
        <v>0</v>
      </c>
      <c r="H47" s="3">
        <v>0</v>
      </c>
      <c r="I47" s="3">
        <v>2</v>
      </c>
      <c r="J47" s="3">
        <v>0</v>
      </c>
      <c r="K47" s="3">
        <v>1</v>
      </c>
      <c r="L47" s="3">
        <v>3</v>
      </c>
      <c r="M47" s="3">
        <v>0</v>
      </c>
      <c r="N47" s="3">
        <v>0</v>
      </c>
      <c r="O47" s="3">
        <f t="shared" si="0"/>
        <v>6</v>
      </c>
    </row>
    <row r="48" s="8" customFormat="1" spans="1:15">
      <c r="A48" s="2" t="s">
        <v>29</v>
      </c>
      <c r="B48" s="9" t="s">
        <v>8</v>
      </c>
      <c r="C48" s="2" t="s">
        <v>89</v>
      </c>
      <c r="D48" s="2" t="s">
        <v>94</v>
      </c>
      <c r="E48" s="2" t="s">
        <v>77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f t="shared" si="0"/>
        <v>0</v>
      </c>
    </row>
    <row r="49" s="8" customFormat="1" spans="1:15">
      <c r="A49" s="2" t="s">
        <v>29</v>
      </c>
      <c r="B49" s="9" t="s">
        <v>8</v>
      </c>
      <c r="C49" s="2" t="s">
        <v>89</v>
      </c>
      <c r="D49" s="2" t="s">
        <v>94</v>
      </c>
      <c r="E49" s="2" t="s">
        <v>78</v>
      </c>
      <c r="F49" s="3">
        <v>0</v>
      </c>
      <c r="G49" s="3">
        <v>0</v>
      </c>
      <c r="H49" s="3">
        <v>3</v>
      </c>
      <c r="I49" s="3">
        <v>4</v>
      </c>
      <c r="J49" s="3">
        <v>2</v>
      </c>
      <c r="K49" s="3">
        <v>4</v>
      </c>
      <c r="L49" s="3">
        <v>2</v>
      </c>
      <c r="M49" s="3">
        <v>0</v>
      </c>
      <c r="N49" s="3">
        <v>0</v>
      </c>
      <c r="O49" s="3">
        <f t="shared" si="0"/>
        <v>15</v>
      </c>
    </row>
    <row r="50" s="8" customFormat="1" spans="1:15">
      <c r="A50" s="2" t="s">
        <v>29</v>
      </c>
      <c r="B50" s="9" t="s">
        <v>8</v>
      </c>
      <c r="C50" s="2" t="s">
        <v>89</v>
      </c>
      <c r="D50" s="2" t="s">
        <v>94</v>
      </c>
      <c r="E50" s="2" t="s">
        <v>98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1</v>
      </c>
      <c r="O50" s="3">
        <f t="shared" si="0"/>
        <v>1</v>
      </c>
    </row>
    <row r="51" s="8" customFormat="1" spans="1:15">
      <c r="A51" s="2" t="s">
        <v>29</v>
      </c>
      <c r="B51" s="9" t="s">
        <v>8</v>
      </c>
      <c r="C51" s="2" t="s">
        <v>89</v>
      </c>
      <c r="D51" s="2" t="s">
        <v>94</v>
      </c>
      <c r="E51" s="2" t="s">
        <v>80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f t="shared" si="0"/>
        <v>0</v>
      </c>
    </row>
    <row r="52" s="8" customFormat="1" spans="1:15">
      <c r="A52" s="2" t="s">
        <v>29</v>
      </c>
      <c r="B52" s="9" t="s">
        <v>8</v>
      </c>
      <c r="C52" s="2" t="s">
        <v>89</v>
      </c>
      <c r="D52" s="2" t="s">
        <v>94</v>
      </c>
      <c r="E52" s="2" t="s">
        <v>82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f t="shared" si="0"/>
        <v>0</v>
      </c>
    </row>
    <row r="53" s="8" customFormat="1" spans="1:15">
      <c r="A53" s="2" t="s">
        <v>29</v>
      </c>
      <c r="B53" s="9" t="s">
        <v>8</v>
      </c>
      <c r="C53" s="2" t="s">
        <v>89</v>
      </c>
      <c r="D53" s="2" t="s">
        <v>94</v>
      </c>
      <c r="E53" s="2" t="s">
        <v>81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f t="shared" si="0"/>
        <v>0</v>
      </c>
    </row>
    <row r="54" s="8" customFormat="1" spans="1:15">
      <c r="A54" s="2" t="s">
        <v>29</v>
      </c>
      <c r="B54" s="9" t="s">
        <v>8</v>
      </c>
      <c r="C54" s="2" t="s">
        <v>89</v>
      </c>
      <c r="D54" s="2" t="s">
        <v>84</v>
      </c>
      <c r="E54" s="2" t="s">
        <v>84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f t="shared" si="0"/>
        <v>0</v>
      </c>
    </row>
    <row r="55" s="8" customFormat="1" spans="1:15">
      <c r="A55" s="2" t="s">
        <v>29</v>
      </c>
      <c r="B55" s="9" t="s">
        <v>8</v>
      </c>
      <c r="C55" s="2" t="s">
        <v>89</v>
      </c>
      <c r="D55" s="2" t="s">
        <v>99</v>
      </c>
      <c r="E55" s="2" t="s">
        <v>86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f t="shared" si="0"/>
        <v>0</v>
      </c>
    </row>
    <row r="56" s="8" customFormat="1" spans="1:15">
      <c r="A56" s="2" t="s">
        <v>29</v>
      </c>
      <c r="B56" s="9" t="s">
        <v>8</v>
      </c>
      <c r="C56" s="2" t="s">
        <v>89</v>
      </c>
      <c r="D56" s="2" t="s">
        <v>99</v>
      </c>
      <c r="E56" s="2" t="s">
        <v>87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f t="shared" si="0"/>
        <v>0</v>
      </c>
    </row>
    <row r="57" spans="1:15">
      <c r="F57" s="8">
        <f t="shared" ref="F57:O57" si="1">SUM(F2:F56)</f>
        <v>0</v>
      </c>
      <c r="G57" s="18">
        <f t="shared" si="1"/>
        <v>0</v>
      </c>
      <c r="H57" s="21">
        <f t="shared" si="1"/>
        <v>47</v>
      </c>
      <c r="I57" s="21">
        <f t="shared" si="1"/>
        <v>61</v>
      </c>
      <c r="J57" s="21">
        <f t="shared" si="1"/>
        <v>46</v>
      </c>
      <c r="K57" s="21">
        <f t="shared" si="1"/>
        <v>40</v>
      </c>
      <c r="L57" s="21">
        <f t="shared" si="1"/>
        <v>52</v>
      </c>
      <c r="M57" s="21">
        <f t="shared" si="1"/>
        <v>3</v>
      </c>
      <c r="N57" s="21">
        <f t="shared" si="1"/>
        <v>3</v>
      </c>
      <c r="O57" s="8">
        <f t="shared" si="1"/>
        <v>252</v>
      </c>
    </row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48576"/>
  <sheetViews>
    <sheetView topLeftCell="A48" workbookViewId="0">
      <selection activeCell="N69" sqref="N69"/>
    </sheetView>
  </sheetViews>
  <sheetFormatPr defaultColWidth="9.14285714285714" defaultRowHeight="15"/>
  <cols>
    <col min="1" max="1" width="11.8571428571429" style="8" customWidth="1"/>
    <col min="2" max="2" width="14.8571428571429" style="8" customWidth="1"/>
    <col min="3" max="3" width="18.1428571428571" style="8" customWidth="1"/>
    <col min="4" max="4" width="15.1428571428571" style="8" customWidth="1"/>
    <col min="5" max="13" width="9.14285714285714" style="8"/>
    <col min="14" max="14" width="12.7142857142857" style="4" customWidth="1"/>
    <col min="15" max="16384" width="9.14285714285714" style="8"/>
  </cols>
  <sheetData>
    <row r="1" s="8" customFormat="1" spans="1:14">
      <c r="A1" s="2" t="s">
        <v>1</v>
      </c>
      <c r="B1" s="2" t="s">
        <v>2</v>
      </c>
      <c r="C1" s="2" t="s">
        <v>3</v>
      </c>
      <c r="D1" s="2" t="s">
        <v>25</v>
      </c>
      <c r="E1" s="3">
        <v>28</v>
      </c>
      <c r="F1" s="3">
        <v>30</v>
      </c>
      <c r="G1" s="3">
        <v>32</v>
      </c>
      <c r="H1" s="3">
        <v>34</v>
      </c>
      <c r="I1" s="3">
        <v>36</v>
      </c>
      <c r="J1" s="3">
        <v>38</v>
      </c>
      <c r="K1" s="3">
        <v>40</v>
      </c>
      <c r="L1" s="3">
        <v>42</v>
      </c>
      <c r="M1" s="3">
        <v>44</v>
      </c>
      <c r="N1" s="3" t="s">
        <v>4</v>
      </c>
    </row>
    <row r="2" s="8" customFormat="1" spans="1:14">
      <c r="A2" s="2" t="s">
        <v>29</v>
      </c>
      <c r="B2" s="9" t="s">
        <v>10</v>
      </c>
      <c r="C2" s="2" t="s">
        <v>100</v>
      </c>
      <c r="D2" s="2" t="s">
        <v>31</v>
      </c>
      <c r="E2" s="3">
        <v>0</v>
      </c>
      <c r="F2" s="3">
        <v>0</v>
      </c>
      <c r="G2" s="3">
        <v>9</v>
      </c>
      <c r="H2" s="3">
        <v>10</v>
      </c>
      <c r="I2" s="3">
        <v>5</v>
      </c>
      <c r="J2" s="3">
        <v>4</v>
      </c>
      <c r="K2" s="3">
        <v>5</v>
      </c>
      <c r="L2" s="3">
        <v>0</v>
      </c>
      <c r="M2" s="3">
        <v>0</v>
      </c>
      <c r="N2" s="3">
        <f t="shared" ref="N2:N56" si="0">SUM(E2:M2)</f>
        <v>33</v>
      </c>
    </row>
    <row r="3" s="8" customFormat="1" spans="1:14">
      <c r="A3" s="2" t="s">
        <v>29</v>
      </c>
      <c r="B3" s="9" t="s">
        <v>10</v>
      </c>
      <c r="C3" s="2" t="s">
        <v>100</v>
      </c>
      <c r="D3" s="2" t="s">
        <v>32</v>
      </c>
      <c r="E3" s="3">
        <v>0</v>
      </c>
      <c r="F3" s="3">
        <v>0</v>
      </c>
      <c r="G3" s="3">
        <v>9</v>
      </c>
      <c r="H3" s="3">
        <v>1</v>
      </c>
      <c r="I3" s="3">
        <v>4</v>
      </c>
      <c r="J3" s="3">
        <v>7</v>
      </c>
      <c r="K3" s="3">
        <v>0</v>
      </c>
      <c r="L3" s="3">
        <v>0</v>
      </c>
      <c r="M3" s="3">
        <v>0</v>
      </c>
      <c r="N3" s="3">
        <f t="shared" si="0"/>
        <v>21</v>
      </c>
    </row>
    <row r="4" s="8" customFormat="1" spans="1:14">
      <c r="A4" s="2" t="s">
        <v>29</v>
      </c>
      <c r="B4" s="9" t="s">
        <v>10</v>
      </c>
      <c r="C4" s="2" t="s">
        <v>100</v>
      </c>
      <c r="D4" s="2" t="s">
        <v>33</v>
      </c>
      <c r="E4" s="3">
        <v>0</v>
      </c>
      <c r="F4" s="3">
        <v>0</v>
      </c>
      <c r="G4" s="3">
        <v>4</v>
      </c>
      <c r="H4" s="3">
        <v>0</v>
      </c>
      <c r="I4" s="3">
        <v>3</v>
      </c>
      <c r="J4" s="3">
        <v>4</v>
      </c>
      <c r="K4" s="3">
        <v>3</v>
      </c>
      <c r="L4" s="3">
        <v>0</v>
      </c>
      <c r="M4" s="3">
        <v>0</v>
      </c>
      <c r="N4" s="3">
        <f t="shared" si="0"/>
        <v>14</v>
      </c>
    </row>
    <row r="5" s="8" customFormat="1" spans="1:14">
      <c r="A5" s="2" t="s">
        <v>29</v>
      </c>
      <c r="B5" s="9" t="s">
        <v>10</v>
      </c>
      <c r="C5" s="2" t="s">
        <v>100</v>
      </c>
      <c r="D5" s="2" t="s">
        <v>34</v>
      </c>
      <c r="E5" s="3">
        <v>0</v>
      </c>
      <c r="F5" s="3">
        <v>0</v>
      </c>
      <c r="G5" s="3">
        <v>4</v>
      </c>
      <c r="H5" s="3">
        <v>1</v>
      </c>
      <c r="I5" s="3">
        <v>2</v>
      </c>
      <c r="J5" s="3">
        <v>4</v>
      </c>
      <c r="K5" s="3">
        <v>2</v>
      </c>
      <c r="L5" s="3">
        <v>1</v>
      </c>
      <c r="M5" s="3">
        <v>4</v>
      </c>
      <c r="N5" s="3">
        <f t="shared" si="0"/>
        <v>18</v>
      </c>
    </row>
    <row r="6" s="8" customFormat="1" spans="1:14">
      <c r="A6" s="2" t="s">
        <v>29</v>
      </c>
      <c r="B6" s="9" t="s">
        <v>10</v>
      </c>
      <c r="C6" s="2" t="s">
        <v>100</v>
      </c>
      <c r="D6" s="2" t="s">
        <v>35</v>
      </c>
      <c r="E6" s="3">
        <v>0</v>
      </c>
      <c r="F6" s="3">
        <v>0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f t="shared" si="0"/>
        <v>1</v>
      </c>
    </row>
    <row r="7" s="8" customFormat="1" spans="1:14">
      <c r="A7" s="2" t="s">
        <v>29</v>
      </c>
      <c r="B7" s="9" t="s">
        <v>10</v>
      </c>
      <c r="C7" s="2" t="s">
        <v>100</v>
      </c>
      <c r="D7" s="2" t="s">
        <v>36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f t="shared" si="0"/>
        <v>0</v>
      </c>
    </row>
    <row r="8" s="8" customFormat="1" spans="1:14">
      <c r="A8" s="2" t="s">
        <v>29</v>
      </c>
      <c r="B8" s="9" t="s">
        <v>10</v>
      </c>
      <c r="C8" s="2" t="s">
        <v>100</v>
      </c>
      <c r="D8" s="2" t="s">
        <v>37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f t="shared" si="0"/>
        <v>0</v>
      </c>
    </row>
    <row r="9" s="8" customFormat="1" spans="1:14">
      <c r="A9" s="2" t="s">
        <v>29</v>
      </c>
      <c r="B9" s="9" t="s">
        <v>10</v>
      </c>
      <c r="C9" s="2" t="s">
        <v>100</v>
      </c>
      <c r="D9" s="2" t="s">
        <v>38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f t="shared" si="0"/>
        <v>0</v>
      </c>
    </row>
    <row r="10" s="8" customFormat="1" spans="1:14">
      <c r="A10" s="2" t="s">
        <v>29</v>
      </c>
      <c r="B10" s="9" t="s">
        <v>10</v>
      </c>
      <c r="C10" s="2" t="s">
        <v>100</v>
      </c>
      <c r="D10" s="2" t="s">
        <v>39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 t="shared" si="0"/>
        <v>0</v>
      </c>
    </row>
    <row r="11" s="8" customFormat="1" spans="1:14">
      <c r="A11" s="2" t="s">
        <v>29</v>
      </c>
      <c r="B11" s="9" t="s">
        <v>10</v>
      </c>
      <c r="C11" s="2" t="s">
        <v>100</v>
      </c>
      <c r="D11" s="2" t="s">
        <v>40</v>
      </c>
      <c r="E11" s="3">
        <v>0</v>
      </c>
      <c r="F11" s="3">
        <v>0</v>
      </c>
      <c r="G11" s="3">
        <v>7</v>
      </c>
      <c r="H11" s="3">
        <v>4</v>
      </c>
      <c r="I11" s="3">
        <v>2</v>
      </c>
      <c r="J11" s="3">
        <v>1</v>
      </c>
      <c r="K11" s="3">
        <v>1</v>
      </c>
      <c r="L11" s="3">
        <v>6</v>
      </c>
      <c r="M11" s="3">
        <v>5</v>
      </c>
      <c r="N11" s="3">
        <f t="shared" si="0"/>
        <v>26</v>
      </c>
    </row>
    <row r="12" s="8" customFormat="1" spans="1:14">
      <c r="A12" s="2" t="s">
        <v>29</v>
      </c>
      <c r="B12" s="9" t="s">
        <v>10</v>
      </c>
      <c r="C12" s="2" t="s">
        <v>100</v>
      </c>
      <c r="D12" s="2" t="s">
        <v>42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f t="shared" si="0"/>
        <v>0</v>
      </c>
    </row>
    <row r="13" s="8" customFormat="1" spans="1:14">
      <c r="A13" s="2" t="s">
        <v>29</v>
      </c>
      <c r="B13" s="9" t="s">
        <v>10</v>
      </c>
      <c r="C13" s="2" t="s">
        <v>100</v>
      </c>
      <c r="D13" s="2" t="s">
        <v>49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f t="shared" si="0"/>
        <v>0</v>
      </c>
    </row>
    <row r="14" s="8" customFormat="1" spans="1:14">
      <c r="A14" s="2" t="s">
        <v>29</v>
      </c>
      <c r="B14" s="9" t="s">
        <v>10</v>
      </c>
      <c r="C14" s="2" t="s">
        <v>100</v>
      </c>
      <c r="D14" s="2" t="s">
        <v>41</v>
      </c>
      <c r="E14" s="3">
        <v>0</v>
      </c>
      <c r="F14" s="3">
        <v>0</v>
      </c>
      <c r="G14" s="3">
        <v>0</v>
      </c>
      <c r="H14" s="3">
        <v>1</v>
      </c>
      <c r="I14" s="3">
        <v>5</v>
      </c>
      <c r="J14" s="3">
        <v>16</v>
      </c>
      <c r="K14" s="3">
        <v>3</v>
      </c>
      <c r="L14" s="3">
        <v>0</v>
      </c>
      <c r="M14" s="3">
        <v>0</v>
      </c>
      <c r="N14" s="3">
        <f t="shared" si="0"/>
        <v>25</v>
      </c>
    </row>
    <row r="15" s="8" customFormat="1" spans="1:14">
      <c r="A15" s="2" t="s">
        <v>29</v>
      </c>
      <c r="B15" s="9" t="s">
        <v>10</v>
      </c>
      <c r="C15" s="2" t="s">
        <v>100</v>
      </c>
      <c r="D15" s="2" t="s">
        <v>44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3">
        <v>1</v>
      </c>
      <c r="K15" s="3">
        <v>0</v>
      </c>
      <c r="L15" s="3">
        <v>0</v>
      </c>
      <c r="M15" s="3">
        <v>0</v>
      </c>
      <c r="N15" s="3">
        <f t="shared" si="0"/>
        <v>2</v>
      </c>
    </row>
    <row r="16" s="8" customFormat="1" spans="1:14">
      <c r="A16" s="2" t="s">
        <v>29</v>
      </c>
      <c r="B16" s="9" t="s">
        <v>10</v>
      </c>
      <c r="C16" s="2" t="s">
        <v>100</v>
      </c>
      <c r="D16" s="2" t="s">
        <v>43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f t="shared" si="0"/>
        <v>0</v>
      </c>
    </row>
    <row r="17" s="8" customFormat="1" spans="1:14">
      <c r="A17" s="2" t="s">
        <v>29</v>
      </c>
      <c r="B17" s="9" t="s">
        <v>10</v>
      </c>
      <c r="C17" s="2" t="s">
        <v>100</v>
      </c>
      <c r="D17" s="2" t="s">
        <v>45</v>
      </c>
      <c r="E17" s="3">
        <v>0</v>
      </c>
      <c r="F17" s="3">
        <v>0</v>
      </c>
      <c r="G17" s="3">
        <v>0</v>
      </c>
      <c r="H17" s="3">
        <v>2</v>
      </c>
      <c r="I17" s="3">
        <v>4</v>
      </c>
      <c r="J17" s="3">
        <v>0</v>
      </c>
      <c r="K17" s="3">
        <v>0</v>
      </c>
      <c r="L17" s="3">
        <v>0</v>
      </c>
      <c r="M17" s="3">
        <v>0</v>
      </c>
      <c r="N17" s="3">
        <f t="shared" si="0"/>
        <v>6</v>
      </c>
    </row>
    <row r="18" s="8" customFormat="1" spans="1:14">
      <c r="A18" s="2" t="s">
        <v>29</v>
      </c>
      <c r="B18" s="9" t="s">
        <v>10</v>
      </c>
      <c r="C18" s="2" t="s">
        <v>100</v>
      </c>
      <c r="D18" s="2" t="s">
        <v>46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f t="shared" si="0"/>
        <v>0</v>
      </c>
    </row>
    <row r="19" s="8" customFormat="1" spans="1:14">
      <c r="A19" s="2" t="s">
        <v>29</v>
      </c>
      <c r="B19" s="9" t="s">
        <v>10</v>
      </c>
      <c r="C19" s="2" t="s">
        <v>100</v>
      </c>
      <c r="D19" s="2" t="s">
        <v>54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f t="shared" si="0"/>
        <v>0</v>
      </c>
    </row>
    <row r="20" s="8" customFormat="1" spans="1:14">
      <c r="A20" s="2" t="s">
        <v>29</v>
      </c>
      <c r="B20" s="9" t="s">
        <v>10</v>
      </c>
      <c r="C20" s="2" t="s">
        <v>100</v>
      </c>
      <c r="D20" s="2" t="s">
        <v>50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f t="shared" si="0"/>
        <v>0</v>
      </c>
    </row>
    <row r="21" s="8" customFormat="1" spans="1:14">
      <c r="A21" s="2" t="s">
        <v>29</v>
      </c>
      <c r="B21" s="9" t="s">
        <v>10</v>
      </c>
      <c r="C21" s="2" t="s">
        <v>100</v>
      </c>
      <c r="D21" s="2" t="s">
        <v>51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f t="shared" si="0"/>
        <v>0</v>
      </c>
    </row>
    <row r="22" s="8" customFormat="1" spans="1:14">
      <c r="A22" s="2" t="s">
        <v>29</v>
      </c>
      <c r="B22" s="9" t="s">
        <v>10</v>
      </c>
      <c r="C22" s="2" t="s">
        <v>100</v>
      </c>
      <c r="D22" s="2" t="s">
        <v>53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f t="shared" si="0"/>
        <v>0</v>
      </c>
    </row>
    <row r="23" s="8" customFormat="1" spans="1:14">
      <c r="A23" s="2" t="s">
        <v>29</v>
      </c>
      <c r="B23" s="9" t="s">
        <v>10</v>
      </c>
      <c r="C23" s="2" t="s">
        <v>100</v>
      </c>
      <c r="D23" s="2" t="s">
        <v>47</v>
      </c>
      <c r="E23" s="3">
        <v>0</v>
      </c>
      <c r="F23" s="3">
        <v>1</v>
      </c>
      <c r="G23" s="3">
        <v>2</v>
      </c>
      <c r="H23" s="3">
        <v>3</v>
      </c>
      <c r="I23" s="3">
        <v>0</v>
      </c>
      <c r="J23" s="3">
        <v>2</v>
      </c>
      <c r="K23" s="3">
        <v>0</v>
      </c>
      <c r="L23" s="3">
        <v>0</v>
      </c>
      <c r="M23" s="3">
        <v>0</v>
      </c>
      <c r="N23" s="3">
        <f t="shared" si="0"/>
        <v>8</v>
      </c>
    </row>
    <row r="24" s="8" customFormat="1" spans="1:14">
      <c r="A24" s="2" t="s">
        <v>29</v>
      </c>
      <c r="B24" s="9" t="s">
        <v>10</v>
      </c>
      <c r="C24" s="2" t="s">
        <v>100</v>
      </c>
      <c r="D24" s="2" t="s">
        <v>52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f t="shared" si="0"/>
        <v>0</v>
      </c>
    </row>
    <row r="25" s="8" customFormat="1" spans="1:14">
      <c r="A25" s="2" t="s">
        <v>29</v>
      </c>
      <c r="B25" s="9" t="s">
        <v>10</v>
      </c>
      <c r="C25" s="2" t="s">
        <v>100</v>
      </c>
      <c r="D25" s="2" t="s">
        <v>48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f t="shared" si="0"/>
        <v>0</v>
      </c>
    </row>
    <row r="26" s="8" customFormat="1" spans="1:14">
      <c r="A26" s="2" t="s">
        <v>29</v>
      </c>
      <c r="B26" s="9" t="s">
        <v>10</v>
      </c>
      <c r="C26" s="2" t="s">
        <v>100</v>
      </c>
      <c r="D26" s="2" t="s">
        <v>56</v>
      </c>
      <c r="E26" s="3">
        <v>0</v>
      </c>
      <c r="F26" s="3">
        <v>0</v>
      </c>
      <c r="G26" s="3">
        <v>2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f t="shared" si="0"/>
        <v>3</v>
      </c>
    </row>
    <row r="27" s="8" customFormat="1" spans="1:14">
      <c r="A27" s="2" t="s">
        <v>29</v>
      </c>
      <c r="B27" s="9" t="s">
        <v>10</v>
      </c>
      <c r="C27" s="2" t="s">
        <v>100</v>
      </c>
      <c r="D27" s="2" t="s">
        <v>55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f t="shared" si="0"/>
        <v>0</v>
      </c>
    </row>
    <row r="28" s="8" customFormat="1" spans="1:14">
      <c r="A28" s="2" t="s">
        <v>29</v>
      </c>
      <c r="B28" s="9" t="s">
        <v>10</v>
      </c>
      <c r="C28" s="2" t="s">
        <v>100</v>
      </c>
      <c r="D28" s="2" t="s">
        <v>57</v>
      </c>
      <c r="E28" s="3">
        <v>0</v>
      </c>
      <c r="F28" s="3">
        <v>0</v>
      </c>
      <c r="G28" s="3">
        <v>5</v>
      </c>
      <c r="H28" s="3">
        <v>0</v>
      </c>
      <c r="I28" s="3">
        <v>0</v>
      </c>
      <c r="J28" s="3">
        <v>1</v>
      </c>
      <c r="K28" s="3">
        <v>0</v>
      </c>
      <c r="L28" s="3">
        <v>0</v>
      </c>
      <c r="M28" s="3">
        <v>0</v>
      </c>
      <c r="N28" s="3">
        <f t="shared" si="0"/>
        <v>6</v>
      </c>
    </row>
    <row r="29" s="8" customFormat="1" spans="1:14">
      <c r="A29" s="2" t="s">
        <v>29</v>
      </c>
      <c r="B29" s="9" t="s">
        <v>10</v>
      </c>
      <c r="C29" s="2" t="s">
        <v>100</v>
      </c>
      <c r="D29" s="2" t="s">
        <v>60</v>
      </c>
      <c r="E29" s="3">
        <v>0</v>
      </c>
      <c r="F29" s="3">
        <v>0</v>
      </c>
      <c r="G29" s="3">
        <v>4</v>
      </c>
      <c r="H29" s="3">
        <v>4</v>
      </c>
      <c r="I29" s="3">
        <v>4</v>
      </c>
      <c r="J29" s="3">
        <v>3</v>
      </c>
      <c r="K29" s="3">
        <v>2</v>
      </c>
      <c r="L29" s="3">
        <v>4</v>
      </c>
      <c r="M29" s="3">
        <v>4</v>
      </c>
      <c r="N29" s="3">
        <f t="shared" si="0"/>
        <v>25</v>
      </c>
    </row>
    <row r="30" s="8" customFormat="1" spans="1:14">
      <c r="A30" s="2" t="s">
        <v>29</v>
      </c>
      <c r="B30" s="9" t="s">
        <v>10</v>
      </c>
      <c r="C30" s="2" t="s">
        <v>100</v>
      </c>
      <c r="D30" s="2" t="s">
        <v>58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1</v>
      </c>
      <c r="K30" s="3">
        <v>0</v>
      </c>
      <c r="L30" s="3">
        <v>0</v>
      </c>
      <c r="M30" s="3">
        <v>0</v>
      </c>
      <c r="N30" s="3">
        <f t="shared" si="0"/>
        <v>1</v>
      </c>
    </row>
    <row r="31" s="8" customFormat="1" spans="1:14">
      <c r="A31" s="2" t="s">
        <v>29</v>
      </c>
      <c r="B31" s="9" t="s">
        <v>10</v>
      </c>
      <c r="C31" s="2" t="s">
        <v>100</v>
      </c>
      <c r="D31" s="2" t="s">
        <v>59</v>
      </c>
      <c r="E31" s="3">
        <v>0</v>
      </c>
      <c r="F31" s="3">
        <v>0</v>
      </c>
      <c r="G31" s="3">
        <v>2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f t="shared" si="0"/>
        <v>3</v>
      </c>
    </row>
    <row r="32" s="8" customFormat="1" spans="1:14">
      <c r="A32" s="2" t="s">
        <v>29</v>
      </c>
      <c r="B32" s="9" t="s">
        <v>10</v>
      </c>
      <c r="C32" s="2" t="s">
        <v>100</v>
      </c>
      <c r="D32" s="2" t="s">
        <v>61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f t="shared" si="0"/>
        <v>0</v>
      </c>
    </row>
    <row r="33" s="8" customFormat="1" spans="1:14">
      <c r="A33" s="2" t="s">
        <v>29</v>
      </c>
      <c r="B33" s="9" t="s">
        <v>10</v>
      </c>
      <c r="C33" s="2" t="s">
        <v>100</v>
      </c>
      <c r="D33" s="2" t="s">
        <v>62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f t="shared" si="0"/>
        <v>0</v>
      </c>
    </row>
    <row r="34" s="8" customFormat="1" spans="1:14">
      <c r="A34" s="2" t="s">
        <v>29</v>
      </c>
      <c r="B34" s="9" t="s">
        <v>10</v>
      </c>
      <c r="C34" s="2" t="s">
        <v>100</v>
      </c>
      <c r="D34" s="2" t="s">
        <v>64</v>
      </c>
      <c r="E34" s="3">
        <v>0</v>
      </c>
      <c r="F34" s="3">
        <v>0</v>
      </c>
      <c r="G34" s="3">
        <v>0</v>
      </c>
      <c r="H34" s="3">
        <v>3</v>
      </c>
      <c r="I34" s="3">
        <v>2</v>
      </c>
      <c r="J34" s="3">
        <v>0</v>
      </c>
      <c r="K34" s="3">
        <v>0</v>
      </c>
      <c r="L34" s="3">
        <v>0</v>
      </c>
      <c r="M34" s="3">
        <v>0</v>
      </c>
      <c r="N34" s="3">
        <f t="shared" si="0"/>
        <v>5</v>
      </c>
    </row>
    <row r="35" s="8" customFormat="1" spans="1:14">
      <c r="A35" s="2" t="s">
        <v>29</v>
      </c>
      <c r="B35" s="9" t="s">
        <v>10</v>
      </c>
      <c r="C35" s="2" t="s">
        <v>100</v>
      </c>
      <c r="D35" s="2" t="s">
        <v>65</v>
      </c>
      <c r="E35" s="3">
        <v>0</v>
      </c>
      <c r="F35" s="3">
        <v>0</v>
      </c>
      <c r="G35" s="3">
        <v>3</v>
      </c>
      <c r="H35" s="3">
        <v>0</v>
      </c>
      <c r="I35" s="3">
        <v>1</v>
      </c>
      <c r="J35" s="3">
        <v>2</v>
      </c>
      <c r="K35" s="3">
        <v>1</v>
      </c>
      <c r="L35" s="3">
        <v>2</v>
      </c>
      <c r="M35" s="3">
        <v>1</v>
      </c>
      <c r="N35" s="3">
        <f t="shared" si="0"/>
        <v>10</v>
      </c>
    </row>
    <row r="36" s="8" customFormat="1" spans="1:14">
      <c r="A36" s="2" t="s">
        <v>29</v>
      </c>
      <c r="B36" s="9" t="s">
        <v>10</v>
      </c>
      <c r="C36" s="2" t="s">
        <v>100</v>
      </c>
      <c r="D36" s="2" t="s">
        <v>63</v>
      </c>
      <c r="E36" s="3">
        <v>0</v>
      </c>
      <c r="F36" s="3">
        <v>0</v>
      </c>
      <c r="G36" s="3">
        <v>12</v>
      </c>
      <c r="H36" s="3">
        <v>5</v>
      </c>
      <c r="I36" s="3">
        <v>3</v>
      </c>
      <c r="J36" s="3">
        <v>10</v>
      </c>
      <c r="K36" s="3">
        <v>1</v>
      </c>
      <c r="L36" s="3">
        <v>3</v>
      </c>
      <c r="M36" s="3">
        <v>3</v>
      </c>
      <c r="N36" s="3">
        <f t="shared" si="0"/>
        <v>37</v>
      </c>
    </row>
    <row r="37" s="8" customFormat="1" spans="1:14">
      <c r="A37" s="2" t="s">
        <v>29</v>
      </c>
      <c r="B37" s="9" t="s">
        <v>10</v>
      </c>
      <c r="C37" s="2" t="s">
        <v>100</v>
      </c>
      <c r="D37" s="2" t="s">
        <v>72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f t="shared" si="0"/>
        <v>0</v>
      </c>
    </row>
    <row r="38" s="8" customFormat="1" spans="1:14">
      <c r="A38" s="2" t="s">
        <v>29</v>
      </c>
      <c r="B38" s="9" t="s">
        <v>10</v>
      </c>
      <c r="C38" s="2" t="s">
        <v>100</v>
      </c>
      <c r="D38" s="2" t="s">
        <v>68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f t="shared" si="0"/>
        <v>0</v>
      </c>
    </row>
    <row r="39" s="8" customFormat="1" spans="1:14">
      <c r="A39" s="2" t="s">
        <v>29</v>
      </c>
      <c r="B39" s="9" t="s">
        <v>10</v>
      </c>
      <c r="C39" s="2" t="s">
        <v>100</v>
      </c>
      <c r="D39" s="2" t="s">
        <v>71</v>
      </c>
      <c r="E39" s="3">
        <v>0</v>
      </c>
      <c r="F39" s="3">
        <v>0</v>
      </c>
      <c r="G39" s="3">
        <v>1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f t="shared" si="0"/>
        <v>1</v>
      </c>
    </row>
    <row r="40" s="8" customFormat="1" spans="1:14">
      <c r="A40" s="2" t="s">
        <v>29</v>
      </c>
      <c r="B40" s="9" t="s">
        <v>10</v>
      </c>
      <c r="C40" s="2" t="s">
        <v>100</v>
      </c>
      <c r="D40" s="2" t="s">
        <v>67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f t="shared" si="0"/>
        <v>0</v>
      </c>
    </row>
    <row r="41" s="8" customFormat="1" spans="1:14">
      <c r="A41" s="2" t="s">
        <v>29</v>
      </c>
      <c r="B41" s="9" t="s">
        <v>10</v>
      </c>
      <c r="C41" s="2" t="s">
        <v>100</v>
      </c>
      <c r="D41" s="2" t="s">
        <v>95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f t="shared" si="0"/>
        <v>0</v>
      </c>
    </row>
    <row r="42" s="8" customFormat="1" spans="1:14">
      <c r="A42" s="2" t="s">
        <v>29</v>
      </c>
      <c r="B42" s="9" t="s">
        <v>10</v>
      </c>
      <c r="C42" s="2" t="s">
        <v>100</v>
      </c>
      <c r="D42" s="2" t="s">
        <v>96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f t="shared" si="0"/>
        <v>0</v>
      </c>
    </row>
    <row r="43" s="8" customFormat="1" spans="1:14">
      <c r="A43" s="2" t="s">
        <v>29</v>
      </c>
      <c r="B43" s="9" t="s">
        <v>10</v>
      </c>
      <c r="C43" s="2" t="s">
        <v>100</v>
      </c>
      <c r="D43" s="2" t="s">
        <v>70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f t="shared" si="0"/>
        <v>0</v>
      </c>
    </row>
    <row r="44" s="8" customFormat="1" spans="1:14">
      <c r="A44" s="2" t="s">
        <v>29</v>
      </c>
      <c r="B44" s="9" t="s">
        <v>10</v>
      </c>
      <c r="C44" s="2" t="s">
        <v>100</v>
      </c>
      <c r="D44" s="2" t="s">
        <v>73</v>
      </c>
      <c r="E44" s="3">
        <v>0</v>
      </c>
      <c r="F44" s="3">
        <v>0</v>
      </c>
      <c r="G44" s="3">
        <v>6</v>
      </c>
      <c r="H44" s="3">
        <v>4</v>
      </c>
      <c r="I44" s="3">
        <v>3</v>
      </c>
      <c r="J44" s="3">
        <v>3</v>
      </c>
      <c r="K44" s="3">
        <v>4</v>
      </c>
      <c r="L44" s="3">
        <v>3</v>
      </c>
      <c r="M44" s="3">
        <v>3</v>
      </c>
      <c r="N44" s="3">
        <f t="shared" si="0"/>
        <v>26</v>
      </c>
    </row>
    <row r="45" s="8" customFormat="1" spans="1:14">
      <c r="A45" s="2" t="s">
        <v>29</v>
      </c>
      <c r="B45" s="9" t="s">
        <v>10</v>
      </c>
      <c r="C45" s="2" t="s">
        <v>100</v>
      </c>
      <c r="D45" s="2" t="s">
        <v>74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f t="shared" si="0"/>
        <v>0</v>
      </c>
    </row>
    <row r="46" s="8" customFormat="1" spans="1:14">
      <c r="A46" s="2" t="s">
        <v>29</v>
      </c>
      <c r="B46" s="9" t="s">
        <v>10</v>
      </c>
      <c r="C46" s="2" t="s">
        <v>100</v>
      </c>
      <c r="D46" s="2" t="s">
        <v>75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f t="shared" si="0"/>
        <v>0</v>
      </c>
    </row>
    <row r="47" s="8" customFormat="1" spans="1:14">
      <c r="A47" s="2" t="s">
        <v>29</v>
      </c>
      <c r="B47" s="9" t="s">
        <v>10</v>
      </c>
      <c r="C47" s="2" t="s">
        <v>100</v>
      </c>
      <c r="D47" s="2" t="s">
        <v>97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f t="shared" si="0"/>
        <v>0</v>
      </c>
    </row>
    <row r="48" s="8" customFormat="1" spans="1:14">
      <c r="A48" s="2" t="s">
        <v>29</v>
      </c>
      <c r="B48" s="9" t="s">
        <v>10</v>
      </c>
      <c r="C48" s="2" t="s">
        <v>100</v>
      </c>
      <c r="D48" s="2" t="s">
        <v>77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f t="shared" si="0"/>
        <v>0</v>
      </c>
    </row>
    <row r="49" s="8" customFormat="1" spans="1:14">
      <c r="A49" s="2" t="s">
        <v>29</v>
      </c>
      <c r="B49" s="9" t="s">
        <v>10</v>
      </c>
      <c r="C49" s="2" t="s">
        <v>100</v>
      </c>
      <c r="D49" s="2" t="s">
        <v>78</v>
      </c>
      <c r="E49" s="3">
        <v>0</v>
      </c>
      <c r="F49" s="3">
        <v>0</v>
      </c>
      <c r="G49" s="3">
        <v>2</v>
      </c>
      <c r="H49" s="3">
        <v>6</v>
      </c>
      <c r="I49" s="3">
        <v>5</v>
      </c>
      <c r="J49" s="3">
        <v>7</v>
      </c>
      <c r="K49" s="3">
        <v>2</v>
      </c>
      <c r="L49" s="3">
        <v>2</v>
      </c>
      <c r="M49" s="3">
        <v>2</v>
      </c>
      <c r="N49" s="3">
        <f t="shared" si="0"/>
        <v>26</v>
      </c>
    </row>
    <row r="50" s="8" customFormat="1" spans="1:14">
      <c r="A50" s="2" t="s">
        <v>29</v>
      </c>
      <c r="B50" s="9" t="s">
        <v>10</v>
      </c>
      <c r="C50" s="2" t="s">
        <v>100</v>
      </c>
      <c r="D50" s="2" t="s">
        <v>98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f t="shared" si="0"/>
        <v>0</v>
      </c>
    </row>
    <row r="51" s="8" customFormat="1" spans="1:14">
      <c r="A51" s="2" t="s">
        <v>29</v>
      </c>
      <c r="B51" s="9" t="s">
        <v>10</v>
      </c>
      <c r="C51" s="2" t="s">
        <v>100</v>
      </c>
      <c r="D51" s="2" t="s">
        <v>80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f t="shared" si="0"/>
        <v>0</v>
      </c>
    </row>
    <row r="52" s="8" customFormat="1" spans="1:14">
      <c r="A52" s="2" t="s">
        <v>29</v>
      </c>
      <c r="B52" s="9" t="s">
        <v>10</v>
      </c>
      <c r="C52" s="2" t="s">
        <v>100</v>
      </c>
      <c r="D52" s="2" t="s">
        <v>82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f t="shared" si="0"/>
        <v>0</v>
      </c>
    </row>
    <row r="53" s="8" customFormat="1" spans="1:14">
      <c r="A53" s="2" t="s">
        <v>29</v>
      </c>
      <c r="B53" s="9" t="s">
        <v>10</v>
      </c>
      <c r="C53" s="2" t="s">
        <v>100</v>
      </c>
      <c r="D53" s="2" t="s">
        <v>81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f t="shared" si="0"/>
        <v>0</v>
      </c>
    </row>
    <row r="54" s="8" customFormat="1" spans="1:14">
      <c r="A54" s="2" t="s">
        <v>29</v>
      </c>
      <c r="B54" s="9" t="s">
        <v>10</v>
      </c>
      <c r="C54" s="2" t="s">
        <v>100</v>
      </c>
      <c r="D54" s="2" t="s">
        <v>84</v>
      </c>
      <c r="E54" s="3">
        <v>0</v>
      </c>
      <c r="F54" s="3">
        <v>0</v>
      </c>
      <c r="G54" s="3">
        <v>4</v>
      </c>
      <c r="H54" s="3">
        <v>5</v>
      </c>
      <c r="I54" s="3">
        <v>6</v>
      </c>
      <c r="J54" s="3">
        <v>0</v>
      </c>
      <c r="K54" s="3">
        <v>6</v>
      </c>
      <c r="L54" s="3">
        <v>0</v>
      </c>
      <c r="M54" s="3">
        <v>0</v>
      </c>
      <c r="N54" s="3">
        <f t="shared" si="0"/>
        <v>21</v>
      </c>
    </row>
    <row r="55" s="8" customFormat="1" spans="1:14">
      <c r="A55" s="2" t="s">
        <v>29</v>
      </c>
      <c r="B55" s="9" t="s">
        <v>10</v>
      </c>
      <c r="C55" s="2" t="s">
        <v>100</v>
      </c>
      <c r="D55" s="2" t="s">
        <v>86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f t="shared" si="0"/>
        <v>0</v>
      </c>
    </row>
    <row r="56" s="8" customFormat="1" spans="1:14">
      <c r="A56" s="2" t="s">
        <v>29</v>
      </c>
      <c r="B56" s="9" t="s">
        <v>10</v>
      </c>
      <c r="C56" s="2" t="s">
        <v>100</v>
      </c>
      <c r="D56" s="2" t="s">
        <v>87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f t="shared" si="0"/>
        <v>0</v>
      </c>
    </row>
    <row r="57" spans="1:14">
      <c r="E57" s="8">
        <f t="shared" ref="E57:N57" si="1">SUM(E2:E56)</f>
        <v>0</v>
      </c>
      <c r="F57" s="18">
        <f t="shared" si="1"/>
        <v>1</v>
      </c>
      <c r="G57" s="19">
        <f t="shared" si="1"/>
        <v>78</v>
      </c>
      <c r="H57" s="19">
        <f t="shared" si="1"/>
        <v>51</v>
      </c>
      <c r="I57" s="20">
        <f t="shared" si="1"/>
        <v>49</v>
      </c>
      <c r="J57" s="20">
        <f t="shared" si="1"/>
        <v>66</v>
      </c>
      <c r="K57" s="19">
        <f t="shared" si="1"/>
        <v>30</v>
      </c>
      <c r="L57" s="19">
        <f t="shared" si="1"/>
        <v>21</v>
      </c>
      <c r="M57" s="19">
        <f t="shared" si="1"/>
        <v>22</v>
      </c>
      <c r="N57" s="8">
        <f t="shared" si="1"/>
        <v>318</v>
      </c>
    </row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8540"/>
  <sheetViews>
    <sheetView topLeftCell="C1" workbookViewId="0">
      <pane ySplit="1" topLeftCell="A2" activePane="bottomLeft" state="frozen"/>
      <selection/>
      <selection pane="bottomLeft" activeCell="Q2" sqref="Q2"/>
    </sheetView>
  </sheetViews>
  <sheetFormatPr defaultColWidth="9.14285714285714" defaultRowHeight="15"/>
  <cols>
    <col min="1" max="1" width="21.2857142857143" style="8" customWidth="1"/>
    <col min="2" max="2" width="23.4285714285714" style="8" customWidth="1"/>
    <col min="3" max="4" width="16.4285714285714" style="8" customWidth="1"/>
    <col min="5" max="5" width="12.2857142857143" style="8" customWidth="1"/>
    <col min="6" max="6" width="17" style="8" customWidth="1"/>
    <col min="7" max="7" width="10.2857142857143" style="8" customWidth="1"/>
    <col min="8" max="8" width="7.71428571428571" style="8" customWidth="1"/>
    <col min="9" max="9" width="8.85714285714286" style="8" customWidth="1"/>
    <col min="10" max="15" width="9.14285714285714" style="8"/>
    <col min="16" max="16" width="11.4285714285714" style="4" customWidth="1"/>
    <col min="17" max="16384" width="9.14285714285714" style="8"/>
  </cols>
  <sheetData>
    <row r="1" s="8" customFormat="1" spans="1:16">
      <c r="A1" s="2" t="s">
        <v>1</v>
      </c>
      <c r="B1" s="2" t="s">
        <v>2</v>
      </c>
      <c r="C1" s="2" t="s">
        <v>3</v>
      </c>
      <c r="D1" s="2" t="s">
        <v>3</v>
      </c>
      <c r="E1" s="2" t="s">
        <v>88</v>
      </c>
      <c r="F1" s="2" t="s">
        <v>25</v>
      </c>
      <c r="G1" s="3">
        <v>28</v>
      </c>
      <c r="H1" s="3">
        <v>30</v>
      </c>
      <c r="I1" s="3">
        <v>32</v>
      </c>
      <c r="J1" s="3">
        <v>34</v>
      </c>
      <c r="K1" s="3">
        <v>36</v>
      </c>
      <c r="L1" s="3">
        <v>38</v>
      </c>
      <c r="M1" s="3">
        <v>40</v>
      </c>
      <c r="N1" s="3">
        <v>42</v>
      </c>
      <c r="O1" s="3">
        <v>44</v>
      </c>
      <c r="P1" s="3" t="s">
        <v>4</v>
      </c>
    </row>
    <row r="2" s="8" customFormat="1" spans="1:16">
      <c r="A2" s="2" t="s">
        <v>101</v>
      </c>
      <c r="B2" s="9" t="s">
        <v>102</v>
      </c>
      <c r="C2" s="2" t="s">
        <v>103</v>
      </c>
      <c r="D2" s="2" t="s">
        <v>104</v>
      </c>
      <c r="E2" s="2" t="s">
        <v>90</v>
      </c>
      <c r="F2" s="2" t="s">
        <v>32</v>
      </c>
      <c r="G2" s="3">
        <v>0</v>
      </c>
      <c r="H2" s="3">
        <v>0</v>
      </c>
      <c r="I2" s="3">
        <v>2</v>
      </c>
      <c r="J2" s="3">
        <v>2</v>
      </c>
      <c r="K2" s="3">
        <v>2</v>
      </c>
      <c r="L2" s="3">
        <v>2</v>
      </c>
      <c r="M2" s="3">
        <v>0</v>
      </c>
      <c r="N2" s="3">
        <v>0</v>
      </c>
      <c r="O2" s="3">
        <v>0</v>
      </c>
      <c r="P2" s="3">
        <f t="shared" ref="P2:P19" si="0">SUM(G2:O2)</f>
        <v>8</v>
      </c>
    </row>
    <row r="3" s="8" customFormat="1" spans="1:16">
      <c r="A3" s="2" t="s">
        <v>101</v>
      </c>
      <c r="B3" s="9" t="s">
        <v>102</v>
      </c>
      <c r="C3" s="2" t="s">
        <v>103</v>
      </c>
      <c r="D3" s="2" t="s">
        <v>104</v>
      </c>
      <c r="E3" s="2" t="s">
        <v>63</v>
      </c>
      <c r="F3" s="2" t="s">
        <v>65</v>
      </c>
      <c r="G3" s="3">
        <v>0</v>
      </c>
      <c r="H3" s="3">
        <v>0</v>
      </c>
      <c r="I3" s="3">
        <v>2</v>
      </c>
      <c r="J3" s="3">
        <v>1</v>
      </c>
      <c r="K3" s="3">
        <v>1</v>
      </c>
      <c r="L3" s="3">
        <v>1</v>
      </c>
      <c r="M3" s="3">
        <v>0</v>
      </c>
      <c r="N3" s="3">
        <v>0</v>
      </c>
      <c r="O3" s="3">
        <v>0</v>
      </c>
      <c r="P3" s="3">
        <f t="shared" si="0"/>
        <v>5</v>
      </c>
    </row>
    <row r="4" s="8" customFormat="1" spans="1:16">
      <c r="A4" s="2" t="s">
        <v>101</v>
      </c>
      <c r="B4" s="9" t="s">
        <v>102</v>
      </c>
      <c r="C4" s="2" t="s">
        <v>103</v>
      </c>
      <c r="D4" s="2" t="s">
        <v>104</v>
      </c>
      <c r="E4" s="2" t="s">
        <v>105</v>
      </c>
      <c r="F4" s="2" t="s">
        <v>105</v>
      </c>
      <c r="G4" s="3">
        <v>0</v>
      </c>
      <c r="H4" s="3">
        <v>0</v>
      </c>
      <c r="I4" s="3">
        <v>1</v>
      </c>
      <c r="J4" s="3">
        <v>2</v>
      </c>
      <c r="K4" s="3">
        <v>1</v>
      </c>
      <c r="L4" s="3">
        <v>2</v>
      </c>
      <c r="M4" s="3">
        <v>0</v>
      </c>
      <c r="N4" s="3">
        <v>0</v>
      </c>
      <c r="O4" s="3">
        <v>0</v>
      </c>
      <c r="P4" s="3">
        <f t="shared" si="0"/>
        <v>6</v>
      </c>
    </row>
    <row r="5" s="8" customFormat="1" spans="1:16">
      <c r="A5" s="2" t="s">
        <v>101</v>
      </c>
      <c r="B5" s="9" t="s">
        <v>102</v>
      </c>
      <c r="C5" s="2" t="s">
        <v>103</v>
      </c>
      <c r="D5" s="2" t="s">
        <v>104</v>
      </c>
      <c r="E5" s="2" t="s">
        <v>105</v>
      </c>
      <c r="F5" s="2" t="s">
        <v>79</v>
      </c>
      <c r="G5" s="3">
        <v>0</v>
      </c>
      <c r="H5" s="3">
        <v>0</v>
      </c>
      <c r="I5" s="3">
        <v>2</v>
      </c>
      <c r="J5" s="3">
        <v>1</v>
      </c>
      <c r="K5" s="3">
        <v>1</v>
      </c>
      <c r="L5" s="3">
        <v>2</v>
      </c>
      <c r="M5" s="3">
        <v>0</v>
      </c>
      <c r="N5" s="3">
        <v>0</v>
      </c>
      <c r="O5" s="3">
        <v>0</v>
      </c>
      <c r="P5" s="3">
        <f t="shared" si="0"/>
        <v>6</v>
      </c>
    </row>
    <row r="6" s="8" customFormat="1" spans="1:16">
      <c r="A6" s="2" t="s">
        <v>101</v>
      </c>
      <c r="B6" s="9" t="s">
        <v>102</v>
      </c>
      <c r="C6" s="2" t="s">
        <v>103</v>
      </c>
      <c r="D6" s="2" t="s">
        <v>106</v>
      </c>
      <c r="E6" s="2" t="s">
        <v>31</v>
      </c>
      <c r="F6" s="2" t="s">
        <v>31</v>
      </c>
      <c r="G6" s="3">
        <v>0</v>
      </c>
      <c r="H6" s="3">
        <v>0</v>
      </c>
      <c r="I6" s="3">
        <v>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f t="shared" si="0"/>
        <v>1</v>
      </c>
    </row>
    <row r="7" s="8" customFormat="1" spans="1:16">
      <c r="A7" s="2" t="s">
        <v>101</v>
      </c>
      <c r="B7" s="9" t="s">
        <v>102</v>
      </c>
      <c r="C7" s="2" t="s">
        <v>103</v>
      </c>
      <c r="D7" s="2" t="s">
        <v>106</v>
      </c>
      <c r="E7" s="2" t="s">
        <v>91</v>
      </c>
      <c r="F7" s="2" t="s">
        <v>34</v>
      </c>
      <c r="G7" s="3">
        <v>0</v>
      </c>
      <c r="H7" s="3">
        <v>0</v>
      </c>
      <c r="I7" s="3">
        <v>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f t="shared" si="0"/>
        <v>1</v>
      </c>
    </row>
    <row r="8" s="8" customFormat="1" spans="1:16">
      <c r="A8" s="2" t="s">
        <v>101</v>
      </c>
      <c r="B8" s="9" t="s">
        <v>102</v>
      </c>
      <c r="C8" s="2" t="s">
        <v>103</v>
      </c>
      <c r="D8" s="2" t="s">
        <v>107</v>
      </c>
      <c r="E8" s="2" t="s">
        <v>31</v>
      </c>
      <c r="F8" s="2" t="s">
        <v>31</v>
      </c>
      <c r="G8" s="3">
        <v>0</v>
      </c>
      <c r="H8" s="3">
        <v>0</v>
      </c>
      <c r="I8" s="3">
        <v>0</v>
      </c>
      <c r="J8" s="3">
        <v>1</v>
      </c>
      <c r="K8" s="3">
        <v>0</v>
      </c>
      <c r="L8" s="3">
        <v>7</v>
      </c>
      <c r="M8" s="3">
        <v>14</v>
      </c>
      <c r="N8" s="3">
        <v>0</v>
      </c>
      <c r="O8" s="3">
        <v>0</v>
      </c>
      <c r="P8" s="3">
        <f t="shared" si="0"/>
        <v>22</v>
      </c>
    </row>
    <row r="9" s="8" customFormat="1" spans="1:16">
      <c r="A9" s="2" t="s">
        <v>101</v>
      </c>
      <c r="B9" s="9" t="s">
        <v>102</v>
      </c>
      <c r="C9" s="2" t="s">
        <v>103</v>
      </c>
      <c r="D9" s="2" t="s">
        <v>107</v>
      </c>
      <c r="E9" s="2" t="s">
        <v>91</v>
      </c>
      <c r="F9" s="2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7</v>
      </c>
      <c r="M9" s="3">
        <v>2</v>
      </c>
      <c r="N9" s="3">
        <v>0</v>
      </c>
      <c r="O9" s="3">
        <v>0</v>
      </c>
      <c r="P9" s="3">
        <f t="shared" si="0"/>
        <v>9</v>
      </c>
    </row>
    <row r="10" s="8" customFormat="1" spans="1:16">
      <c r="A10" s="2" t="s">
        <v>101</v>
      </c>
      <c r="B10" s="9" t="s">
        <v>102</v>
      </c>
      <c r="C10" s="2" t="s">
        <v>103</v>
      </c>
      <c r="D10" s="2" t="s">
        <v>107</v>
      </c>
      <c r="E10" s="2" t="s">
        <v>93</v>
      </c>
      <c r="F10" s="2" t="s">
        <v>108</v>
      </c>
      <c r="G10" s="3">
        <v>0</v>
      </c>
      <c r="H10" s="3">
        <v>0</v>
      </c>
      <c r="I10" s="3">
        <v>0</v>
      </c>
      <c r="J10" s="3">
        <v>1</v>
      </c>
      <c r="K10" s="3">
        <v>0</v>
      </c>
      <c r="L10" s="3">
        <v>6</v>
      </c>
      <c r="M10" s="3">
        <v>4</v>
      </c>
      <c r="N10" s="3">
        <v>0</v>
      </c>
      <c r="O10" s="3">
        <v>0</v>
      </c>
      <c r="P10" s="3">
        <f t="shared" si="0"/>
        <v>11</v>
      </c>
    </row>
    <row r="11" s="8" customFormat="1" spans="1:16">
      <c r="A11" s="2" t="s">
        <v>101</v>
      </c>
      <c r="B11" s="9" t="s">
        <v>102</v>
      </c>
      <c r="C11" s="2" t="s">
        <v>103</v>
      </c>
      <c r="D11" s="2" t="s">
        <v>107</v>
      </c>
      <c r="E11" s="2" t="s">
        <v>94</v>
      </c>
      <c r="F11" s="2" t="s">
        <v>109</v>
      </c>
      <c r="G11" s="3">
        <v>0</v>
      </c>
      <c r="H11" s="3">
        <v>0</v>
      </c>
      <c r="I11" s="3">
        <v>1</v>
      </c>
      <c r="J11" s="3">
        <v>0</v>
      </c>
      <c r="K11" s="3">
        <v>3</v>
      </c>
      <c r="L11" s="3">
        <v>0</v>
      </c>
      <c r="M11" s="3">
        <v>0</v>
      </c>
      <c r="N11" s="3">
        <v>0</v>
      </c>
      <c r="O11" s="3">
        <v>0</v>
      </c>
      <c r="P11" s="3">
        <f t="shared" si="0"/>
        <v>4</v>
      </c>
    </row>
    <row r="12" s="8" customFormat="1" spans="1:16">
      <c r="A12" s="2" t="s">
        <v>101</v>
      </c>
      <c r="B12" s="9" t="s">
        <v>102</v>
      </c>
      <c r="C12" s="2" t="s">
        <v>103</v>
      </c>
      <c r="D12" s="2" t="s">
        <v>107</v>
      </c>
      <c r="E12" s="2" t="s">
        <v>94</v>
      </c>
      <c r="F12" s="2" t="s">
        <v>105</v>
      </c>
      <c r="G12" s="3">
        <v>0</v>
      </c>
      <c r="H12" s="3">
        <v>0</v>
      </c>
      <c r="I12" s="3">
        <v>0</v>
      </c>
      <c r="J12" s="3">
        <v>0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  <c r="P12" s="3">
        <f t="shared" si="0"/>
        <v>1</v>
      </c>
    </row>
    <row r="13" s="8" customFormat="1" spans="1:16">
      <c r="A13" s="2" t="s">
        <v>101</v>
      </c>
      <c r="B13" s="9" t="s">
        <v>102</v>
      </c>
      <c r="C13" s="2" t="s">
        <v>103</v>
      </c>
      <c r="D13" s="2" t="s">
        <v>110</v>
      </c>
      <c r="E13" s="2" t="s">
        <v>31</v>
      </c>
      <c r="F13" s="2" t="s">
        <v>31</v>
      </c>
      <c r="G13" s="3">
        <v>0</v>
      </c>
      <c r="H13" s="3">
        <v>0</v>
      </c>
      <c r="I13" s="3">
        <v>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f t="shared" si="0"/>
        <v>1</v>
      </c>
    </row>
    <row r="14" s="8" customFormat="1" spans="1:16">
      <c r="A14" s="2" t="s">
        <v>101</v>
      </c>
      <c r="B14" s="9" t="s">
        <v>102</v>
      </c>
      <c r="C14" s="2" t="s">
        <v>103</v>
      </c>
      <c r="D14" s="2" t="s">
        <v>110</v>
      </c>
      <c r="E14" s="2" t="s">
        <v>93</v>
      </c>
      <c r="F14" s="2" t="s">
        <v>93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2</v>
      </c>
      <c r="M14" s="3">
        <v>0</v>
      </c>
      <c r="N14" s="3">
        <v>0</v>
      </c>
      <c r="O14" s="3">
        <v>0</v>
      </c>
      <c r="P14" s="3">
        <f t="shared" si="0"/>
        <v>2</v>
      </c>
    </row>
    <row r="15" s="8" customFormat="1" spans="1:16">
      <c r="A15" s="2" t="s">
        <v>101</v>
      </c>
      <c r="B15" s="9" t="s">
        <v>102</v>
      </c>
      <c r="C15" s="2" t="s">
        <v>103</v>
      </c>
      <c r="D15" s="2" t="s">
        <v>110</v>
      </c>
      <c r="E15" s="2" t="s">
        <v>93</v>
      </c>
      <c r="F15" s="2" t="s">
        <v>111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2</v>
      </c>
      <c r="M15" s="3">
        <v>0</v>
      </c>
      <c r="N15" s="3">
        <v>0</v>
      </c>
      <c r="O15" s="3">
        <v>0</v>
      </c>
      <c r="P15" s="3">
        <f t="shared" si="0"/>
        <v>2</v>
      </c>
    </row>
    <row r="16" s="8" customFormat="1" spans="1:16">
      <c r="A16" s="2" t="s">
        <v>101</v>
      </c>
      <c r="B16" s="9" t="s">
        <v>102</v>
      </c>
      <c r="C16" s="2" t="s">
        <v>103</v>
      </c>
      <c r="D16" s="2" t="s">
        <v>110</v>
      </c>
      <c r="E16" s="2" t="s">
        <v>105</v>
      </c>
      <c r="F16" s="2" t="s">
        <v>78</v>
      </c>
      <c r="G16" s="3">
        <v>0</v>
      </c>
      <c r="H16" s="3">
        <v>0</v>
      </c>
      <c r="I16" s="3">
        <v>3</v>
      </c>
      <c r="J16" s="3">
        <v>0</v>
      </c>
      <c r="K16" s="3">
        <v>2</v>
      </c>
      <c r="L16" s="3">
        <v>1</v>
      </c>
      <c r="M16" s="3">
        <v>0</v>
      </c>
      <c r="N16" s="3">
        <v>0</v>
      </c>
      <c r="O16" s="3">
        <v>0</v>
      </c>
      <c r="P16" s="3">
        <f t="shared" si="0"/>
        <v>6</v>
      </c>
    </row>
    <row r="17" s="8" customFormat="1" spans="1:16">
      <c r="A17" s="2" t="s">
        <v>101</v>
      </c>
      <c r="B17" s="9" t="s">
        <v>102</v>
      </c>
      <c r="C17" s="2" t="s">
        <v>103</v>
      </c>
      <c r="D17" s="2" t="s">
        <v>112</v>
      </c>
      <c r="E17" s="2" t="s">
        <v>31</v>
      </c>
      <c r="F17" s="2" t="s">
        <v>31</v>
      </c>
      <c r="G17" s="3">
        <v>0</v>
      </c>
      <c r="H17" s="3">
        <v>0</v>
      </c>
      <c r="I17" s="3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f t="shared" si="0"/>
        <v>2</v>
      </c>
    </row>
    <row r="18" s="8" customFormat="1" spans="1:16">
      <c r="A18" s="2" t="s">
        <v>101</v>
      </c>
      <c r="B18" s="9" t="s">
        <v>102</v>
      </c>
      <c r="C18" s="2" t="s">
        <v>103</v>
      </c>
      <c r="D18" s="2" t="s">
        <v>112</v>
      </c>
      <c r="E18" s="2" t="s">
        <v>90</v>
      </c>
      <c r="F18" s="2" t="s">
        <v>32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f t="shared" si="0"/>
        <v>0</v>
      </c>
    </row>
    <row r="19" s="8" customFormat="1" spans="1:16">
      <c r="A19" s="2" t="s">
        <v>101</v>
      </c>
      <c r="B19" s="9" t="s">
        <v>102</v>
      </c>
      <c r="C19" s="2" t="s">
        <v>103</v>
      </c>
      <c r="D19" s="2" t="s">
        <v>112</v>
      </c>
      <c r="E19" s="2" t="s">
        <v>91</v>
      </c>
      <c r="F19" s="2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1</v>
      </c>
      <c r="M19" s="3">
        <v>0</v>
      </c>
      <c r="N19" s="3">
        <v>0</v>
      </c>
      <c r="O19" s="3">
        <v>0</v>
      </c>
      <c r="P19" s="3">
        <f t="shared" si="0"/>
        <v>1</v>
      </c>
    </row>
    <row r="20" spans="1:16">
      <c r="G20" s="8">
        <f t="shared" ref="G20:Q20" si="1">SUM(G2:G19)</f>
        <v>0</v>
      </c>
      <c r="H20" s="8">
        <f t="shared" si="1"/>
        <v>0</v>
      </c>
      <c r="I20" s="8">
        <f t="shared" si="1"/>
        <v>16</v>
      </c>
      <c r="J20" s="8">
        <f t="shared" si="1"/>
        <v>8</v>
      </c>
      <c r="K20" s="8">
        <f t="shared" si="1"/>
        <v>11</v>
      </c>
      <c r="L20" s="8">
        <f t="shared" si="1"/>
        <v>33</v>
      </c>
      <c r="M20" s="8">
        <f t="shared" si="1"/>
        <v>20</v>
      </c>
      <c r="N20" s="8">
        <f t="shared" si="1"/>
        <v>0</v>
      </c>
      <c r="O20" s="8">
        <f t="shared" si="1"/>
        <v>0</v>
      </c>
      <c r="P20" s="8">
        <f t="shared" si="1"/>
        <v>88</v>
      </c>
    </row>
    <row r="21" spans="1:16">
      <c r="P21" s="8"/>
    </row>
    <row r="22" spans="1:16">
      <c r="F22" s="2" t="s">
        <v>113</v>
      </c>
      <c r="G22" s="2">
        <f>P4+P2+P5+P3</f>
        <v>25</v>
      </c>
    </row>
    <row r="23" spans="1:16">
      <c r="F23" s="2" t="s">
        <v>114</v>
      </c>
      <c r="G23" s="2">
        <f>P6+P7</f>
        <v>2</v>
      </c>
    </row>
    <row r="24" spans="1:16">
      <c r="F24" s="2" t="s">
        <v>115</v>
      </c>
      <c r="G24" s="2">
        <f>P8+P9+P10+P11+P12</f>
        <v>47</v>
      </c>
    </row>
    <row r="25" spans="1:16">
      <c r="F25" s="2" t="s">
        <v>116</v>
      </c>
      <c r="G25" s="2">
        <f>P13+P14+P15+P16</f>
        <v>11</v>
      </c>
    </row>
    <row r="26" spans="1:16">
      <c r="F26" s="2" t="s">
        <v>117</v>
      </c>
      <c r="G26" s="2">
        <f>P17+P18+P19</f>
        <v>3</v>
      </c>
    </row>
    <row r="27" spans="1:16">
      <c r="F27" s="2" t="s">
        <v>118</v>
      </c>
      <c r="G27" s="2">
        <f>G22+G23+G24+G25+G26</f>
        <v>88</v>
      </c>
    </row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48568"/>
  <sheetViews>
    <sheetView topLeftCell="C1" workbookViewId="0">
      <selection activeCell="R3" sqref="R3"/>
    </sheetView>
  </sheetViews>
  <sheetFormatPr defaultColWidth="9.14285714285714" defaultRowHeight="15"/>
  <cols>
    <col min="1" max="1" width="21.2857142857143" style="8" customWidth="1"/>
    <col min="2" max="2" width="23.4285714285714" style="8" customWidth="1"/>
    <col min="3" max="4" width="16.4285714285714" style="8" customWidth="1"/>
    <col min="5" max="5" width="12.2857142857143" style="8" customWidth="1"/>
    <col min="6" max="6" width="17" style="8" customWidth="1"/>
    <col min="7" max="7" width="10.2857142857143" style="8" customWidth="1"/>
    <col min="8" max="8" width="7.71428571428571" style="8" customWidth="1"/>
    <col min="9" max="9" width="8.85714285714286" style="8" customWidth="1"/>
    <col min="10" max="15" width="9.14285714285714" style="8"/>
    <col min="16" max="16" width="11.4285714285714" style="4" customWidth="1"/>
    <col min="17" max="17" width="15.1428571428571" style="15" customWidth="1"/>
    <col min="18" max="16384" width="9.14285714285714" style="8"/>
  </cols>
  <sheetData>
    <row r="1" s="8" customFormat="1" spans="1:17">
      <c r="A1" s="2" t="s">
        <v>1</v>
      </c>
      <c r="B1" s="2" t="s">
        <v>2</v>
      </c>
      <c r="C1" s="2" t="s">
        <v>3</v>
      </c>
      <c r="D1" s="2" t="s">
        <v>3</v>
      </c>
      <c r="E1" s="2" t="s">
        <v>88</v>
      </c>
      <c r="F1" s="2" t="s">
        <v>25</v>
      </c>
      <c r="G1" s="3">
        <v>28</v>
      </c>
      <c r="H1" s="3">
        <v>30</v>
      </c>
      <c r="I1" s="3">
        <v>32</v>
      </c>
      <c r="J1" s="3">
        <v>34</v>
      </c>
      <c r="K1" s="3">
        <v>36</v>
      </c>
      <c r="L1" s="3">
        <v>38</v>
      </c>
      <c r="M1" s="3">
        <v>40</v>
      </c>
      <c r="N1" s="3">
        <v>42</v>
      </c>
      <c r="O1" s="3">
        <v>44</v>
      </c>
      <c r="P1" s="3" t="s">
        <v>4</v>
      </c>
      <c r="Q1" s="16" t="s">
        <v>119</v>
      </c>
    </row>
    <row r="2" s="8" customFormat="1" spans="1:17">
      <c r="A2" s="2" t="s">
        <v>101</v>
      </c>
      <c r="B2" s="9" t="s">
        <v>102</v>
      </c>
      <c r="C2" s="2" t="s">
        <v>120</v>
      </c>
      <c r="D2" s="2" t="s">
        <v>104</v>
      </c>
      <c r="E2" s="2" t="s">
        <v>31</v>
      </c>
      <c r="F2" s="2" t="s">
        <v>31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2</v>
      </c>
      <c r="M2" s="3">
        <v>4</v>
      </c>
      <c r="N2" s="3">
        <v>0</v>
      </c>
      <c r="O2" s="3">
        <v>0</v>
      </c>
      <c r="P2" s="3">
        <f>SUM(G2:O2)</f>
        <v>6</v>
      </c>
      <c r="Q2" s="3">
        <f>P2</f>
        <v>6</v>
      </c>
    </row>
    <row r="3" s="8" customFormat="1" spans="1:17">
      <c r="A3" s="2" t="s">
        <v>101</v>
      </c>
      <c r="B3" s="9" t="s">
        <v>102</v>
      </c>
      <c r="C3" s="2" t="s">
        <v>120</v>
      </c>
      <c r="D3" s="2" t="s">
        <v>104</v>
      </c>
      <c r="E3" s="2" t="s">
        <v>93</v>
      </c>
      <c r="F3" s="2" t="s">
        <v>111</v>
      </c>
      <c r="G3" s="3">
        <v>0</v>
      </c>
      <c r="H3" s="3">
        <v>0</v>
      </c>
      <c r="I3" s="3">
        <v>0</v>
      </c>
      <c r="J3" s="3">
        <v>1</v>
      </c>
      <c r="K3" s="3">
        <v>0</v>
      </c>
      <c r="L3" s="3">
        <v>1</v>
      </c>
      <c r="M3" s="3">
        <v>3</v>
      </c>
      <c r="N3" s="3">
        <v>0</v>
      </c>
      <c r="O3" s="3">
        <v>0</v>
      </c>
      <c r="P3" s="3">
        <f t="shared" ref="P3:P12" si="0">SUM(G3:O3)</f>
        <v>5</v>
      </c>
      <c r="Q3" s="3">
        <f t="shared" ref="Q3:Q10" si="1">P3</f>
        <v>5</v>
      </c>
    </row>
    <row r="4" s="8" customFormat="1" spans="1:17">
      <c r="A4" s="2" t="s">
        <v>101</v>
      </c>
      <c r="B4" s="9" t="s">
        <v>102</v>
      </c>
      <c r="C4" s="2" t="s">
        <v>120</v>
      </c>
      <c r="D4" s="2" t="s">
        <v>104</v>
      </c>
      <c r="E4" s="2" t="s">
        <v>105</v>
      </c>
      <c r="F4" s="2" t="s">
        <v>82</v>
      </c>
      <c r="G4" s="3">
        <v>0</v>
      </c>
      <c r="H4" s="3">
        <v>0</v>
      </c>
      <c r="I4" s="3">
        <v>0</v>
      </c>
      <c r="J4" s="3">
        <v>4</v>
      </c>
      <c r="K4" s="3">
        <v>3</v>
      </c>
      <c r="L4" s="3">
        <v>4</v>
      </c>
      <c r="M4" s="3">
        <v>4</v>
      </c>
      <c r="N4" s="3">
        <v>0</v>
      </c>
      <c r="O4" s="3">
        <v>0</v>
      </c>
      <c r="P4" s="3">
        <f t="shared" si="0"/>
        <v>15</v>
      </c>
      <c r="Q4" s="3">
        <f t="shared" si="1"/>
        <v>15</v>
      </c>
    </row>
    <row r="5" s="8" customFormat="1" spans="1:17">
      <c r="A5" s="2" t="s">
        <v>101</v>
      </c>
      <c r="B5" s="9" t="s">
        <v>102</v>
      </c>
      <c r="C5" s="2" t="s">
        <v>120</v>
      </c>
      <c r="D5" s="2" t="s">
        <v>104</v>
      </c>
      <c r="E5" s="2" t="s">
        <v>105</v>
      </c>
      <c r="F5" s="2" t="s">
        <v>76</v>
      </c>
      <c r="G5" s="3">
        <v>0</v>
      </c>
      <c r="H5" s="3">
        <v>0</v>
      </c>
      <c r="I5" s="3">
        <v>0</v>
      </c>
      <c r="J5" s="3">
        <v>2</v>
      </c>
      <c r="K5" s="3">
        <v>2</v>
      </c>
      <c r="L5" s="3">
        <v>3</v>
      </c>
      <c r="M5" s="3">
        <v>1</v>
      </c>
      <c r="N5" s="3">
        <v>0</v>
      </c>
      <c r="O5" s="3">
        <v>0</v>
      </c>
      <c r="P5" s="3">
        <f t="shared" si="0"/>
        <v>8</v>
      </c>
      <c r="Q5" s="3">
        <f t="shared" si="1"/>
        <v>8</v>
      </c>
    </row>
    <row r="6" s="8" customFormat="1" spans="1:17">
      <c r="A6" s="2" t="s">
        <v>101</v>
      </c>
      <c r="B6" s="9" t="s">
        <v>102</v>
      </c>
      <c r="C6" s="2" t="s">
        <v>120</v>
      </c>
      <c r="D6" s="2" t="s">
        <v>106</v>
      </c>
      <c r="E6" s="2" t="s">
        <v>90</v>
      </c>
      <c r="F6" s="2" t="s">
        <v>121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1</v>
      </c>
      <c r="M6" s="3">
        <v>1</v>
      </c>
      <c r="N6" s="3">
        <v>0</v>
      </c>
      <c r="O6" s="3">
        <v>0</v>
      </c>
      <c r="P6" s="3">
        <f t="shared" si="0"/>
        <v>2</v>
      </c>
      <c r="Q6" s="3">
        <f t="shared" si="1"/>
        <v>2</v>
      </c>
    </row>
    <row r="7" s="8" customFormat="1" spans="1:17">
      <c r="A7" s="2" t="s">
        <v>101</v>
      </c>
      <c r="B7" s="9" t="s">
        <v>102</v>
      </c>
      <c r="C7" s="2" t="s">
        <v>120</v>
      </c>
      <c r="D7" s="2" t="s">
        <v>106</v>
      </c>
      <c r="E7" s="2" t="s">
        <v>93</v>
      </c>
      <c r="F7" s="2" t="s">
        <v>111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3</v>
      </c>
      <c r="M7" s="3">
        <v>1</v>
      </c>
      <c r="N7" s="3">
        <v>0</v>
      </c>
      <c r="O7" s="3">
        <v>0</v>
      </c>
      <c r="P7" s="3">
        <f t="shared" si="0"/>
        <v>4</v>
      </c>
      <c r="Q7" s="3">
        <f t="shared" si="1"/>
        <v>4</v>
      </c>
    </row>
    <row r="8" s="8" customFormat="1" spans="1:17">
      <c r="A8" s="2" t="s">
        <v>101</v>
      </c>
      <c r="B8" s="9" t="s">
        <v>102</v>
      </c>
      <c r="C8" s="2" t="s">
        <v>120</v>
      </c>
      <c r="D8" s="2" t="s">
        <v>106</v>
      </c>
      <c r="E8" s="2" t="s">
        <v>105</v>
      </c>
      <c r="F8" s="2" t="s">
        <v>76</v>
      </c>
      <c r="G8" s="3">
        <v>0</v>
      </c>
      <c r="H8" s="3">
        <v>0</v>
      </c>
      <c r="I8" s="3">
        <v>0</v>
      </c>
      <c r="J8" s="3">
        <v>1</v>
      </c>
      <c r="K8" s="3">
        <v>2</v>
      </c>
      <c r="L8" s="3">
        <v>3</v>
      </c>
      <c r="M8" s="3">
        <v>2</v>
      </c>
      <c r="N8" s="3">
        <v>0</v>
      </c>
      <c r="O8" s="3">
        <v>0</v>
      </c>
      <c r="P8" s="3">
        <f t="shared" si="0"/>
        <v>8</v>
      </c>
      <c r="Q8" s="3">
        <f t="shared" si="1"/>
        <v>8</v>
      </c>
    </row>
    <row r="9" s="8" customFormat="1" spans="1:17">
      <c r="A9" s="2" t="s">
        <v>101</v>
      </c>
      <c r="B9" s="9" t="s">
        <v>102</v>
      </c>
      <c r="C9" s="2" t="s">
        <v>120</v>
      </c>
      <c r="D9" s="2" t="s">
        <v>106</v>
      </c>
      <c r="E9" s="2" t="s">
        <v>105</v>
      </c>
      <c r="F9" s="2" t="s">
        <v>79</v>
      </c>
      <c r="G9" s="3">
        <v>0</v>
      </c>
      <c r="H9" s="3">
        <v>0</v>
      </c>
      <c r="I9" s="3">
        <v>0</v>
      </c>
      <c r="J9" s="3">
        <v>1</v>
      </c>
      <c r="K9" s="3">
        <v>3</v>
      </c>
      <c r="L9" s="3">
        <v>4</v>
      </c>
      <c r="M9" s="3">
        <v>2</v>
      </c>
      <c r="N9" s="3">
        <v>0</v>
      </c>
      <c r="O9" s="3">
        <v>0</v>
      </c>
      <c r="P9" s="3">
        <f t="shared" si="0"/>
        <v>10</v>
      </c>
      <c r="Q9" s="3">
        <f t="shared" si="1"/>
        <v>10</v>
      </c>
    </row>
    <row r="10" s="8" customFormat="1" spans="1:17">
      <c r="A10" s="2" t="s">
        <v>101</v>
      </c>
      <c r="B10" s="9" t="s">
        <v>102</v>
      </c>
      <c r="C10" s="2" t="s">
        <v>120</v>
      </c>
      <c r="D10" s="2" t="s">
        <v>106</v>
      </c>
      <c r="E10" s="2" t="s">
        <v>105</v>
      </c>
      <c r="F10" s="2" t="s">
        <v>82</v>
      </c>
      <c r="G10" s="3">
        <v>0</v>
      </c>
      <c r="H10" s="3">
        <v>0</v>
      </c>
      <c r="I10" s="3">
        <v>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 t="shared" si="0"/>
        <v>1</v>
      </c>
      <c r="Q10" s="3">
        <f t="shared" si="1"/>
        <v>1</v>
      </c>
    </row>
    <row r="11" s="8" customFormat="1" spans="1:17">
      <c r="A11" s="2" t="s">
        <v>101</v>
      </c>
      <c r="B11" s="9" t="s">
        <v>102</v>
      </c>
      <c r="C11" s="2" t="s">
        <v>120</v>
      </c>
      <c r="D11" s="2" t="s">
        <v>122</v>
      </c>
      <c r="E11" s="2" t="s">
        <v>90</v>
      </c>
      <c r="F11" s="2" t="s">
        <v>32</v>
      </c>
      <c r="G11" s="3">
        <v>0</v>
      </c>
      <c r="H11" s="3">
        <v>0</v>
      </c>
      <c r="I11" s="3">
        <v>0</v>
      </c>
      <c r="J11" s="3">
        <v>3</v>
      </c>
      <c r="K11" s="3">
        <v>4</v>
      </c>
      <c r="L11" s="3">
        <v>3</v>
      </c>
      <c r="M11" s="3">
        <v>4</v>
      </c>
      <c r="N11" s="3">
        <v>0</v>
      </c>
      <c r="O11" s="3">
        <v>0</v>
      </c>
      <c r="P11" s="3">
        <f t="shared" si="0"/>
        <v>14</v>
      </c>
      <c r="Q11" s="3">
        <f t="shared" ref="Q11:Q16" si="2">P11</f>
        <v>14</v>
      </c>
    </row>
    <row r="12" s="8" customFormat="1" spans="1:17">
      <c r="A12" s="2" t="s">
        <v>101</v>
      </c>
      <c r="B12" s="9" t="s">
        <v>102</v>
      </c>
      <c r="C12" s="2" t="s">
        <v>120</v>
      </c>
      <c r="D12" s="2" t="s">
        <v>123</v>
      </c>
      <c r="E12" s="2" t="s">
        <v>63</v>
      </c>
      <c r="F12" s="2" t="s">
        <v>65</v>
      </c>
      <c r="G12" s="3">
        <v>0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>
        <v>2</v>
      </c>
      <c r="N12" s="3">
        <v>1</v>
      </c>
      <c r="O12" s="3">
        <v>1</v>
      </c>
      <c r="P12" s="3">
        <f t="shared" si="0"/>
        <v>5</v>
      </c>
      <c r="Q12" s="3">
        <f t="shared" si="2"/>
        <v>5</v>
      </c>
    </row>
    <row r="13" s="8" customFormat="1" spans="1:17">
      <c r="G13" s="3">
        <f t="shared" ref="G13:Q13" si="3">SUM(G2:G12)</f>
        <v>0</v>
      </c>
      <c r="H13" s="3">
        <f t="shared" si="3"/>
        <v>1</v>
      </c>
      <c r="I13" s="3">
        <f t="shared" si="3"/>
        <v>0</v>
      </c>
      <c r="J13" s="3">
        <f t="shared" si="3"/>
        <v>13</v>
      </c>
      <c r="K13" s="3">
        <f t="shared" si="3"/>
        <v>14</v>
      </c>
      <c r="L13" s="3">
        <f t="shared" si="3"/>
        <v>24</v>
      </c>
      <c r="M13" s="3">
        <f t="shared" si="3"/>
        <v>24</v>
      </c>
      <c r="N13" s="3">
        <f t="shared" si="3"/>
        <v>1</v>
      </c>
      <c r="O13" s="3">
        <f t="shared" si="3"/>
        <v>1</v>
      </c>
      <c r="P13" s="3">
        <f t="shared" si="3"/>
        <v>78</v>
      </c>
      <c r="Q13" s="3">
        <f t="shared" si="3"/>
        <v>78</v>
      </c>
    </row>
    <row r="14" s="8" customFormat="1" spans="1:17">
      <c r="Q14" s="15"/>
    </row>
    <row r="15" s="8" customFormat="1" spans="1:17">
      <c r="A15" s="2" t="s">
        <v>123</v>
      </c>
      <c r="B15" s="8" t="s">
        <v>124</v>
      </c>
      <c r="F15" s="2" t="s">
        <v>113</v>
      </c>
      <c r="G15" s="2">
        <f>P2+P3+P4+P5</f>
        <v>34</v>
      </c>
      <c r="P15" s="4"/>
      <c r="Q15" s="15"/>
    </row>
    <row r="16" s="8" customFormat="1" spans="1:17">
      <c r="F16" s="2" t="s">
        <v>114</v>
      </c>
      <c r="G16" s="2">
        <f>P6+P7+P8+P9+P10</f>
        <v>25</v>
      </c>
      <c r="P16" s="4"/>
      <c r="Q16" s="15"/>
    </row>
    <row r="17" s="8" customFormat="1" spans="6:17">
      <c r="F17" s="2" t="s">
        <v>125</v>
      </c>
      <c r="G17" s="2">
        <f>Q11</f>
        <v>14</v>
      </c>
      <c r="P17" s="4"/>
      <c r="Q17" s="15"/>
    </row>
    <row r="18" s="8" customFormat="1" spans="6:17">
      <c r="F18" s="2" t="s">
        <v>126</v>
      </c>
      <c r="G18" s="2">
        <f>Q12</f>
        <v>5</v>
      </c>
      <c r="P18" s="4"/>
      <c r="Q18" s="15"/>
    </row>
    <row r="19" s="8" customFormat="1" spans="6:17">
      <c r="F19" s="2" t="s">
        <v>118</v>
      </c>
      <c r="G19" s="2">
        <f>G15+G16+G17+G18</f>
        <v>78</v>
      </c>
      <c r="P19" s="4"/>
      <c r="Q19" s="15"/>
    </row>
    <row r="20" s="8" customFormat="1" spans="6:17">
      <c r="P20" s="4"/>
      <c r="Q20" s="15"/>
    </row>
    <row r="21" s="8" customFormat="1" spans="6:17">
      <c r="P21" s="4"/>
      <c r="Q21" s="15"/>
    </row>
    <row r="22" s="8" customFormat="1" spans="6:17">
      <c r="P22" s="4"/>
      <c r="Q22" s="15"/>
    </row>
    <row r="23" s="8" customFormat="1" spans="6:17">
      <c r="P23" s="4"/>
      <c r="Q23" s="15"/>
    </row>
    <row r="24" s="8" customFormat="1" spans="6:17">
      <c r="P24" s="4"/>
      <c r="Q24" s="15"/>
    </row>
    <row r="25" s="8" customFormat="1" spans="6:17">
      <c r="P25" s="4"/>
      <c r="Q25" s="15"/>
    </row>
    <row r="26" s="8" customFormat="1" spans="6:17">
      <c r="P26" s="4"/>
      <c r="Q26" s="15"/>
    </row>
    <row r="27" s="8" customFormat="1" spans="6:17">
      <c r="P27" s="4"/>
      <c r="Q27" s="15"/>
    </row>
    <row r="28" s="8" customFormat="1" spans="6:17">
      <c r="P28" s="4"/>
      <c r="Q28" s="15"/>
    </row>
    <row r="29" s="8" customFormat="1" spans="6:17">
      <c r="P29" s="4"/>
      <c r="Q29" s="15"/>
    </row>
    <row r="30" s="8" customFormat="1" spans="6:17">
      <c r="P30" s="4"/>
      <c r="Q30" s="15"/>
    </row>
    <row r="31" s="8" customFormat="1" spans="6:17">
      <c r="P31" s="4"/>
      <c r="Q31" s="15"/>
    </row>
    <row r="32" s="8" customFormat="1" spans="6:17">
      <c r="P32" s="4"/>
      <c r="Q32" s="15"/>
    </row>
    <row r="33" s="8" customFormat="1" spans="16:17">
      <c r="P33" s="4"/>
      <c r="Q33" s="15"/>
    </row>
    <row r="34" s="8" customFormat="1" spans="16:17">
      <c r="P34" s="4"/>
      <c r="Q34" s="15"/>
    </row>
    <row r="35" s="8" customFormat="1" spans="16:17">
      <c r="P35" s="4"/>
      <c r="Q35" s="15"/>
    </row>
    <row r="36" s="8" customFormat="1" spans="16:17">
      <c r="P36" s="4"/>
      <c r="Q36" s="15"/>
    </row>
    <row r="37" s="8" customFormat="1" spans="16:17">
      <c r="P37" s="4"/>
      <c r="Q37" s="15"/>
    </row>
    <row r="38" s="8" customFormat="1" spans="16:17">
      <c r="P38" s="4"/>
      <c r="Q38" s="15"/>
    </row>
    <row r="39" s="8" customFormat="1" spans="16:17">
      <c r="P39" s="4"/>
      <c r="Q39" s="15"/>
    </row>
    <row r="40" s="8" customFormat="1" spans="16:17">
      <c r="P40" s="4"/>
      <c r="Q40" s="15"/>
    </row>
    <row r="41" s="8" customFormat="1" spans="16:17">
      <c r="P41" s="4"/>
      <c r="Q41" s="15"/>
    </row>
    <row r="42" s="8" customFormat="1" spans="16:17">
      <c r="P42" s="4"/>
      <c r="Q42" s="15"/>
    </row>
    <row r="43" s="8" customFormat="1" spans="16:17">
      <c r="P43" s="4"/>
      <c r="Q43" s="15"/>
    </row>
    <row r="44" s="8" customFormat="1" spans="16:17">
      <c r="P44" s="4"/>
      <c r="Q44" s="15"/>
    </row>
    <row r="45" s="8" customFormat="1" spans="16:17">
      <c r="P45" s="4"/>
      <c r="Q45" s="15"/>
    </row>
    <row r="46" s="8" customFormat="1" spans="16:17">
      <c r="P46" s="4"/>
      <c r="Q46" s="15"/>
    </row>
    <row r="47" s="8" customFormat="1" spans="16:17">
      <c r="P47" s="4"/>
      <c r="Q47" s="15"/>
    </row>
    <row r="48" s="8" customFormat="1" spans="16:17">
      <c r="P48" s="4"/>
      <c r="Q48" s="15"/>
    </row>
    <row r="49" s="8" customFormat="1" spans="16:17">
      <c r="P49" s="4"/>
      <c r="Q49" s="15"/>
    </row>
    <row r="1048516" customFormat="1" spans="17:17">
      <c r="Q1048516" s="17"/>
    </row>
    <row r="1048517" customFormat="1" spans="17:17">
      <c r="Q1048517" s="17"/>
    </row>
    <row r="1048518" customFormat="1" spans="17:17">
      <c r="Q1048518" s="17"/>
    </row>
    <row r="1048519" customFormat="1" spans="17:17">
      <c r="Q1048519" s="17"/>
    </row>
    <row r="1048520" customFormat="1" spans="17:17">
      <c r="Q1048520" s="17"/>
    </row>
    <row r="1048521" customFormat="1" spans="17:17">
      <c r="Q1048521" s="17"/>
    </row>
    <row r="1048522" customFormat="1" spans="17:17">
      <c r="Q1048522" s="17"/>
    </row>
    <row r="1048523" customFormat="1" spans="17:17">
      <c r="Q1048523" s="17"/>
    </row>
    <row r="1048524" customFormat="1" spans="17:17">
      <c r="Q1048524" s="17"/>
    </row>
    <row r="1048525" customFormat="1" spans="17:17">
      <c r="Q1048525" s="17"/>
    </row>
    <row r="1048526" customFormat="1" spans="17:17">
      <c r="Q1048526" s="17"/>
    </row>
    <row r="1048527" customFormat="1" spans="17:17">
      <c r="Q1048527" s="17"/>
    </row>
    <row r="1048528" customFormat="1" spans="17:17">
      <c r="Q1048528" s="17"/>
    </row>
    <row r="1048529" customFormat="1" spans="17:17">
      <c r="Q1048529" s="17"/>
    </row>
    <row r="1048530" customFormat="1" spans="17:17">
      <c r="Q1048530" s="17"/>
    </row>
    <row r="1048531" customFormat="1" spans="17:17">
      <c r="Q1048531" s="17"/>
    </row>
    <row r="1048532" customFormat="1" spans="17:17">
      <c r="Q1048532" s="17"/>
    </row>
    <row r="1048552" s="8" customFormat="1" spans="16:17">
      <c r="P1048552" s="4"/>
      <c r="Q1048552" s="15"/>
    </row>
    <row r="1048553" s="8" customFormat="1" spans="16:17">
      <c r="P1048553" s="4"/>
      <c r="Q1048553" s="15"/>
    </row>
    <row r="1048554" s="8" customFormat="1" spans="16:17">
      <c r="P1048554" s="4"/>
      <c r="Q1048554" s="15"/>
    </row>
    <row r="1048555" s="8" customFormat="1" spans="16:17">
      <c r="P1048555" s="4"/>
      <c r="Q1048555" s="15"/>
    </row>
    <row r="1048556" s="8" customFormat="1" spans="16:17">
      <c r="P1048556" s="4"/>
      <c r="Q1048556" s="15"/>
    </row>
    <row r="1048557" s="8" customFormat="1" spans="16:17">
      <c r="P1048557" s="4"/>
      <c r="Q1048557" s="15"/>
    </row>
    <row r="1048558" s="8" customFormat="1" spans="16:17">
      <c r="P1048558" s="4"/>
      <c r="Q1048558" s="15"/>
    </row>
    <row r="1048559" s="8" customFormat="1" spans="16:17">
      <c r="P1048559" s="4"/>
      <c r="Q1048559" s="15"/>
    </row>
    <row r="1048560" s="8" customFormat="1" spans="16:17">
      <c r="P1048560" s="4"/>
      <c r="Q1048560" s="15"/>
    </row>
    <row r="1048561" s="8" customFormat="1" spans="16:17">
      <c r="P1048561" s="4"/>
      <c r="Q1048561" s="15"/>
    </row>
    <row r="1048562" s="8" customFormat="1" spans="16:17">
      <c r="P1048562" s="4"/>
      <c r="Q1048562" s="15"/>
    </row>
    <row r="1048563" s="8" customFormat="1" spans="16:17">
      <c r="P1048563" s="4"/>
      <c r="Q1048563" s="15"/>
    </row>
    <row r="1048564" s="8" customFormat="1" spans="16:17">
      <c r="P1048564" s="4"/>
      <c r="Q1048564" s="15"/>
    </row>
    <row r="1048565" s="8" customFormat="1" spans="16:17">
      <c r="P1048565" s="4"/>
      <c r="Q1048565" s="15"/>
    </row>
    <row r="1048566" s="8" customFormat="1" spans="16:17">
      <c r="P1048566" s="4"/>
      <c r="Q1048566" s="15"/>
    </row>
    <row r="1048567" s="8" customFormat="1" spans="16:17">
      <c r="P1048567" s="4"/>
      <c r="Q1048567" s="15"/>
    </row>
    <row r="1048568" s="8" customFormat="1" spans="16:17">
      <c r="P1048568" s="4"/>
      <c r="Q1048568" s="15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48529"/>
  <sheetViews>
    <sheetView workbookViewId="0">
      <selection activeCell="C2" sqref="C2"/>
    </sheetView>
  </sheetViews>
  <sheetFormatPr defaultColWidth="9.14285714285714" defaultRowHeight="15"/>
  <cols>
    <col min="1" max="1" width="13.2857142857143" style="8" customWidth="1"/>
    <col min="2" max="2" width="23.4285714285714" style="8" customWidth="1"/>
    <col min="3" max="3" width="16.4285714285714" style="8" customWidth="1"/>
    <col min="4" max="4" width="12.2857142857143" style="8" customWidth="1"/>
    <col min="5" max="5" width="17" style="8" customWidth="1"/>
    <col min="6" max="6" width="10.2857142857143" style="8" customWidth="1"/>
    <col min="7" max="7" width="7.71428571428571" style="8" customWidth="1"/>
    <col min="8" max="8" width="8.85714285714286" style="8" customWidth="1"/>
    <col min="9" max="14" width="9.14285714285714" style="8"/>
    <col min="15" max="15" width="11.4285714285714" style="4" customWidth="1"/>
    <col min="16" max="16384" width="9.14285714285714" style="8"/>
  </cols>
  <sheetData>
    <row r="1" s="8" customFormat="1" spans="1:15">
      <c r="A1" s="2" t="s">
        <v>1</v>
      </c>
      <c r="B1" s="2" t="s">
        <v>2</v>
      </c>
      <c r="C1" s="2" t="s">
        <v>3</v>
      </c>
      <c r="D1" s="2" t="s">
        <v>88</v>
      </c>
      <c r="E1" s="2" t="s">
        <v>25</v>
      </c>
      <c r="F1" s="3">
        <v>28</v>
      </c>
      <c r="G1" s="3">
        <v>30</v>
      </c>
      <c r="H1" s="3">
        <v>32</v>
      </c>
      <c r="I1" s="3">
        <v>34</v>
      </c>
      <c r="J1" s="3">
        <v>36</v>
      </c>
      <c r="K1" s="3">
        <v>38</v>
      </c>
      <c r="L1" s="3">
        <v>40</v>
      </c>
      <c r="M1" s="3">
        <v>42</v>
      </c>
      <c r="N1" s="3">
        <v>44</v>
      </c>
      <c r="O1" s="3" t="s">
        <v>4</v>
      </c>
    </row>
    <row r="2" s="8" customFormat="1" spans="1:15">
      <c r="A2" s="2" t="s">
        <v>29</v>
      </c>
      <c r="B2" s="9">
        <v>2025</v>
      </c>
      <c r="C2" s="2" t="s">
        <v>127</v>
      </c>
      <c r="D2" s="2" t="s">
        <v>31</v>
      </c>
      <c r="E2" s="2" t="s">
        <v>31</v>
      </c>
      <c r="F2" s="3">
        <v>4</v>
      </c>
      <c r="G2" s="3">
        <v>3</v>
      </c>
      <c r="H2" s="3">
        <v>3</v>
      </c>
      <c r="I2" s="3">
        <v>1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f t="shared" ref="O2:O7" si="0">SUM(F2:N2)</f>
        <v>11</v>
      </c>
    </row>
    <row r="3" s="8" customFormat="1" spans="1:15">
      <c r="A3" s="2" t="s">
        <v>29</v>
      </c>
      <c r="B3" s="9">
        <v>2025</v>
      </c>
      <c r="C3" s="2" t="s">
        <v>127</v>
      </c>
      <c r="D3" s="2" t="s">
        <v>90</v>
      </c>
      <c r="E3" s="2" t="s">
        <v>33</v>
      </c>
      <c r="F3" s="3">
        <v>3</v>
      </c>
      <c r="G3" s="3">
        <v>3</v>
      </c>
      <c r="H3" s="3">
        <v>4</v>
      </c>
      <c r="I3" s="3">
        <v>4</v>
      </c>
      <c r="J3" s="3">
        <v>3</v>
      </c>
      <c r="K3" s="3">
        <v>0</v>
      </c>
      <c r="L3" s="3">
        <v>0</v>
      </c>
      <c r="M3" s="3">
        <v>0</v>
      </c>
      <c r="N3" s="3">
        <v>0</v>
      </c>
      <c r="O3" s="3">
        <f t="shared" si="0"/>
        <v>17</v>
      </c>
    </row>
    <row r="4" s="8" customFormat="1" spans="1:15">
      <c r="A4" s="2" t="s">
        <v>29</v>
      </c>
      <c r="B4" s="9">
        <v>2025</v>
      </c>
      <c r="C4" s="2" t="s">
        <v>127</v>
      </c>
      <c r="D4" s="2" t="s">
        <v>90</v>
      </c>
      <c r="E4" s="2" t="s">
        <v>32</v>
      </c>
      <c r="F4" s="3">
        <v>3</v>
      </c>
      <c r="G4" s="3">
        <v>3</v>
      </c>
      <c r="H4" s="3">
        <v>3</v>
      </c>
      <c r="I4" s="3">
        <v>4</v>
      </c>
      <c r="J4" s="3">
        <v>1</v>
      </c>
      <c r="K4" s="3">
        <v>0</v>
      </c>
      <c r="L4" s="3">
        <v>0</v>
      </c>
      <c r="M4" s="3">
        <v>0</v>
      </c>
      <c r="N4" s="3">
        <v>0</v>
      </c>
      <c r="O4" s="3">
        <f t="shared" si="0"/>
        <v>14</v>
      </c>
    </row>
    <row r="5" s="8" customFormat="1" spans="1:15">
      <c r="A5" s="2" t="s">
        <v>29</v>
      </c>
      <c r="B5" s="9">
        <v>2025</v>
      </c>
      <c r="C5" s="2" t="s">
        <v>127</v>
      </c>
      <c r="D5" s="2" t="s">
        <v>91</v>
      </c>
      <c r="E5" s="2" t="s">
        <v>78</v>
      </c>
      <c r="F5" s="3">
        <v>3</v>
      </c>
      <c r="G5" s="3">
        <v>4</v>
      </c>
      <c r="H5" s="3">
        <v>2</v>
      </c>
      <c r="I5" s="3">
        <v>1</v>
      </c>
      <c r="J5" s="3">
        <v>0</v>
      </c>
      <c r="K5" s="3">
        <v>0</v>
      </c>
      <c r="L5" s="3">
        <v>1</v>
      </c>
      <c r="M5" s="3">
        <v>0</v>
      </c>
      <c r="N5" s="3">
        <v>0</v>
      </c>
      <c r="O5" s="3">
        <f t="shared" si="0"/>
        <v>11</v>
      </c>
    </row>
    <row r="6" s="8" customFormat="1" spans="1:15">
      <c r="A6" s="2" t="s">
        <v>29</v>
      </c>
      <c r="B6" s="9">
        <v>2025</v>
      </c>
      <c r="C6" s="2" t="s">
        <v>127</v>
      </c>
      <c r="D6" s="2" t="s">
        <v>91</v>
      </c>
      <c r="E6" s="2" t="s">
        <v>34</v>
      </c>
      <c r="F6" s="3">
        <v>1</v>
      </c>
      <c r="G6" s="3">
        <v>3</v>
      </c>
      <c r="H6" s="3">
        <v>4</v>
      </c>
      <c r="I6" s="3">
        <v>3</v>
      </c>
      <c r="J6" s="3">
        <v>1</v>
      </c>
      <c r="K6" s="3">
        <v>0</v>
      </c>
      <c r="L6" s="3">
        <v>1</v>
      </c>
      <c r="M6" s="3">
        <v>0</v>
      </c>
      <c r="N6" s="3">
        <v>0</v>
      </c>
      <c r="O6" s="3">
        <f t="shared" si="0"/>
        <v>13</v>
      </c>
    </row>
    <row r="7" s="8" customFormat="1" spans="1:15">
      <c r="A7" s="2" t="s">
        <v>29</v>
      </c>
      <c r="B7" s="9">
        <v>2025</v>
      </c>
      <c r="C7" s="2" t="s">
        <v>127</v>
      </c>
      <c r="D7" s="2" t="s">
        <v>92</v>
      </c>
      <c r="E7" s="2" t="s">
        <v>128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1</v>
      </c>
      <c r="L7" s="3">
        <v>0</v>
      </c>
      <c r="M7" s="3">
        <v>0</v>
      </c>
      <c r="N7" s="3">
        <v>0</v>
      </c>
      <c r="O7" s="3">
        <f t="shared" si="0"/>
        <v>1</v>
      </c>
    </row>
    <row r="8" spans="1:15">
      <c r="F8" s="8">
        <f t="shared" ref="F8:O8" si="1">F2+F3+F4+F5+F6+F7</f>
        <v>14</v>
      </c>
      <c r="G8" s="8">
        <f t="shared" si="1"/>
        <v>16</v>
      </c>
      <c r="H8" s="8">
        <f t="shared" si="1"/>
        <v>16</v>
      </c>
      <c r="I8" s="8">
        <f t="shared" si="1"/>
        <v>13</v>
      </c>
      <c r="J8" s="8">
        <f t="shared" si="1"/>
        <v>5</v>
      </c>
      <c r="K8" s="8">
        <f t="shared" si="1"/>
        <v>1</v>
      </c>
      <c r="L8" s="8">
        <f t="shared" si="1"/>
        <v>2</v>
      </c>
      <c r="M8" s="8">
        <f t="shared" si="1"/>
        <v>0</v>
      </c>
      <c r="N8" s="8">
        <f t="shared" si="1"/>
        <v>0</v>
      </c>
      <c r="O8" s="8">
        <f t="shared" si="1"/>
        <v>67</v>
      </c>
    </row>
    <row r="13" spans="1:15">
      <c r="F13" s="4"/>
      <c r="G13" s="4"/>
      <c r="H13" s="4"/>
      <c r="I13" s="4"/>
      <c r="J13" s="4"/>
      <c r="K13" s="4"/>
      <c r="L13" s="4"/>
      <c r="M13" s="4"/>
      <c r="N13" s="4"/>
    </row>
    <row r="14" spans="1:15">
      <c r="B14" s="14"/>
      <c r="C14" s="14"/>
      <c r="F14" s="4"/>
      <c r="G14" s="4"/>
      <c r="H14" s="4"/>
      <c r="I14" s="4"/>
      <c r="J14" s="4"/>
      <c r="K14" s="4"/>
      <c r="L14" s="4"/>
      <c r="M14" s="4"/>
      <c r="N14" s="4"/>
    </row>
    <row r="15" spans="1:15">
      <c r="B15" s="14"/>
      <c r="F15" s="4"/>
      <c r="G15" s="4"/>
      <c r="H15" s="4"/>
      <c r="I15" s="4"/>
      <c r="J15" s="4"/>
      <c r="K15" s="4"/>
      <c r="L15" s="4"/>
      <c r="M15" s="4"/>
      <c r="N15" s="4"/>
    </row>
    <row r="16" spans="1:15">
      <c r="B16" s="14"/>
      <c r="F16" s="4"/>
      <c r="G16" s="4"/>
      <c r="H16" s="4"/>
      <c r="I16" s="4"/>
      <c r="J16" s="4"/>
      <c r="K16" s="4"/>
      <c r="L16" s="4"/>
      <c r="M16" s="4"/>
      <c r="N16" s="4"/>
    </row>
    <row r="17" spans="2:15">
      <c r="B17" s="14"/>
      <c r="F17" s="4"/>
      <c r="G17" s="4"/>
      <c r="H17" s="4"/>
      <c r="I17" s="4"/>
      <c r="J17" s="4"/>
      <c r="K17" s="4"/>
      <c r="L17" s="4"/>
      <c r="M17" s="4"/>
      <c r="N17" s="4"/>
    </row>
    <row r="18" spans="2:15">
      <c r="B18" s="14"/>
      <c r="F18" s="4"/>
      <c r="G18" s="4"/>
      <c r="H18" s="4"/>
      <c r="I18" s="4"/>
      <c r="J18" s="4"/>
      <c r="K18" s="4"/>
      <c r="L18" s="4"/>
      <c r="M18" s="4"/>
      <c r="N18" s="4"/>
    </row>
    <row r="19" spans="2:15">
      <c r="B19" s="14"/>
      <c r="F19" s="4"/>
      <c r="G19" s="4"/>
      <c r="H19" s="4"/>
      <c r="I19" s="4"/>
      <c r="J19" s="4"/>
      <c r="K19" s="4"/>
      <c r="L19" s="4"/>
      <c r="M19" s="4"/>
      <c r="N19" s="4"/>
    </row>
    <row r="20" spans="2:15">
      <c r="B20" s="14"/>
      <c r="F20" s="4"/>
      <c r="G20" s="4"/>
      <c r="H20" s="4"/>
      <c r="I20" s="4"/>
      <c r="J20" s="4"/>
      <c r="K20" s="4"/>
      <c r="L20" s="4"/>
      <c r="M20" s="4"/>
      <c r="N20" s="4"/>
    </row>
    <row r="21" spans="2:15">
      <c r="B21" s="14"/>
      <c r="F21" s="4"/>
      <c r="G21" s="4"/>
      <c r="H21" s="4"/>
      <c r="I21" s="4"/>
      <c r="J21" s="4"/>
      <c r="K21" s="4"/>
      <c r="L21" s="4"/>
      <c r="M21" s="4"/>
      <c r="N21" s="4"/>
    </row>
    <row r="22" spans="2:15">
      <c r="O22" s="8"/>
    </row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opLeftCell="A27" workbookViewId="0">
      <selection activeCell="L48" sqref="L48"/>
    </sheetView>
  </sheetViews>
  <sheetFormatPr defaultColWidth="9.14285714285714" defaultRowHeight="15"/>
  <cols>
    <col min="1" max="1" width="13.2857142857143" style="8" customWidth="1"/>
    <col min="2" max="2" width="23.4285714285714" style="8" customWidth="1"/>
    <col min="3" max="3" width="16.4285714285714" style="8" customWidth="1"/>
    <col min="4" max="4" width="17" style="8" customWidth="1"/>
    <col min="5" max="5" width="10.2857142857143" style="8" customWidth="1"/>
    <col min="6" max="6" width="7.71428571428571" style="8" customWidth="1"/>
    <col min="7" max="7" width="8.85714285714286" style="8" customWidth="1"/>
    <col min="8" max="8" width="9.14285714285714" style="8"/>
    <col min="9" max="9" width="11.4285714285714" style="4" customWidth="1"/>
    <col min="10" max="16384" width="9.14285714285714" style="8"/>
  </cols>
  <sheetData>
    <row r="1" s="8" customFormat="1" spans="1:9">
      <c r="A1" s="2" t="s">
        <v>1</v>
      </c>
      <c r="B1" s="2" t="s">
        <v>2</v>
      </c>
      <c r="C1" s="2" t="s">
        <v>3</v>
      </c>
      <c r="D1" s="2" t="s">
        <v>25</v>
      </c>
      <c r="E1" s="3" t="s">
        <v>129</v>
      </c>
      <c r="F1" s="3" t="s">
        <v>130</v>
      </c>
      <c r="G1" s="3" t="s">
        <v>131</v>
      </c>
      <c r="H1" s="3" t="s">
        <v>132</v>
      </c>
      <c r="I1" s="3" t="s">
        <v>4</v>
      </c>
    </row>
    <row r="2" s="8" customFormat="1" spans="1:9">
      <c r="A2" s="2" t="s">
        <v>133</v>
      </c>
      <c r="B2" s="5">
        <v>7003</v>
      </c>
      <c r="C2" s="2" t="s">
        <v>18</v>
      </c>
      <c r="D2" s="2" t="s">
        <v>31</v>
      </c>
      <c r="E2" s="3">
        <v>11</v>
      </c>
      <c r="F2" s="3">
        <v>7</v>
      </c>
      <c r="G2" s="3">
        <v>3</v>
      </c>
      <c r="H2" s="3">
        <v>2</v>
      </c>
      <c r="I2" s="3">
        <f t="shared" ref="I2:I7" si="0">SUM(E2:H2)</f>
        <v>23</v>
      </c>
    </row>
    <row r="3" s="8" customFormat="1" spans="1:9">
      <c r="A3" s="2" t="s">
        <v>133</v>
      </c>
      <c r="B3" s="5">
        <v>7003</v>
      </c>
      <c r="C3" s="2" t="s">
        <v>18</v>
      </c>
      <c r="D3" s="2" t="s">
        <v>134</v>
      </c>
      <c r="E3" s="3">
        <v>3</v>
      </c>
      <c r="F3" s="3">
        <v>3</v>
      </c>
      <c r="G3" s="3">
        <v>1</v>
      </c>
      <c r="H3" s="3">
        <v>0</v>
      </c>
      <c r="I3" s="3">
        <f t="shared" si="0"/>
        <v>7</v>
      </c>
    </row>
    <row r="4" s="8" customFormat="1" spans="1:9">
      <c r="A4" s="2" t="s">
        <v>133</v>
      </c>
      <c r="B4" s="5">
        <v>7003</v>
      </c>
      <c r="C4" s="2" t="s">
        <v>18</v>
      </c>
      <c r="D4" s="2" t="s">
        <v>33</v>
      </c>
      <c r="E4" s="3">
        <v>3</v>
      </c>
      <c r="F4" s="3">
        <v>3</v>
      </c>
      <c r="G4" s="3">
        <v>2</v>
      </c>
      <c r="H4" s="3">
        <v>2</v>
      </c>
      <c r="I4" s="3">
        <f t="shared" si="0"/>
        <v>10</v>
      </c>
    </row>
    <row r="5" s="8" customFormat="1" spans="1:9">
      <c r="A5" s="2" t="s">
        <v>133</v>
      </c>
      <c r="B5" s="5">
        <v>7003</v>
      </c>
      <c r="C5" s="2" t="s">
        <v>18</v>
      </c>
      <c r="D5" s="2" t="s">
        <v>34</v>
      </c>
      <c r="E5" s="3">
        <v>9</v>
      </c>
      <c r="F5" s="3">
        <v>6</v>
      </c>
      <c r="G5" s="3">
        <v>3</v>
      </c>
      <c r="H5" s="3">
        <v>2</v>
      </c>
      <c r="I5" s="3">
        <f t="shared" si="0"/>
        <v>20</v>
      </c>
    </row>
    <row r="6" s="8" customFormat="1" spans="1:9">
      <c r="A6" s="2" t="s">
        <v>133</v>
      </c>
      <c r="B6" s="5">
        <v>7003</v>
      </c>
      <c r="C6" s="2" t="s">
        <v>18</v>
      </c>
      <c r="D6" s="2" t="s">
        <v>35</v>
      </c>
      <c r="E6" s="3">
        <v>5</v>
      </c>
      <c r="F6" s="3">
        <v>3</v>
      </c>
      <c r="G6" s="3">
        <v>2</v>
      </c>
      <c r="H6" s="3">
        <v>1</v>
      </c>
      <c r="I6" s="3">
        <f t="shared" si="0"/>
        <v>11</v>
      </c>
    </row>
    <row r="7" s="8" customFormat="1" spans="1:9">
      <c r="A7" s="2" t="s">
        <v>133</v>
      </c>
      <c r="B7" s="5">
        <v>7003</v>
      </c>
      <c r="C7" s="2" t="s">
        <v>18</v>
      </c>
      <c r="D7" s="2" t="s">
        <v>135</v>
      </c>
      <c r="E7" s="3">
        <v>0</v>
      </c>
      <c r="F7" s="3">
        <v>0</v>
      </c>
      <c r="G7" s="3">
        <v>1</v>
      </c>
      <c r="H7" s="3">
        <v>0</v>
      </c>
      <c r="I7" s="3">
        <f t="shared" si="0"/>
        <v>1</v>
      </c>
    </row>
    <row r="8" s="8" customFormat="1" spans="1:9">
      <c r="A8" s="2" t="s">
        <v>133</v>
      </c>
      <c r="B8" s="5">
        <v>7003</v>
      </c>
      <c r="C8" s="2" t="s">
        <v>18</v>
      </c>
      <c r="D8" s="2" t="s">
        <v>37</v>
      </c>
      <c r="E8" s="3">
        <v>1</v>
      </c>
      <c r="F8" s="3">
        <v>2</v>
      </c>
      <c r="G8" s="3">
        <v>2</v>
      </c>
      <c r="H8" s="3">
        <v>1</v>
      </c>
      <c r="I8" s="3">
        <f t="shared" ref="I8:I23" si="1">SUM(E8:H8)</f>
        <v>6</v>
      </c>
    </row>
    <row r="9" s="8" customFormat="1" spans="1:9">
      <c r="A9" s="2" t="s">
        <v>133</v>
      </c>
      <c r="B9" s="5">
        <v>7003</v>
      </c>
      <c r="C9" s="2" t="s">
        <v>18</v>
      </c>
      <c r="D9" s="2" t="s">
        <v>136</v>
      </c>
      <c r="E9" s="3">
        <v>3</v>
      </c>
      <c r="F9" s="3">
        <v>3</v>
      </c>
      <c r="G9" s="3">
        <v>2</v>
      </c>
      <c r="H9" s="3">
        <v>1</v>
      </c>
      <c r="I9" s="3">
        <f t="shared" si="1"/>
        <v>9</v>
      </c>
    </row>
    <row r="10" s="8" customFormat="1" spans="1:9">
      <c r="A10" s="2" t="s">
        <v>133</v>
      </c>
      <c r="B10" s="5">
        <v>7003</v>
      </c>
      <c r="C10" s="2" t="s">
        <v>18</v>
      </c>
      <c r="D10" s="2" t="s">
        <v>137</v>
      </c>
      <c r="E10" s="3">
        <v>12</v>
      </c>
      <c r="F10" s="3">
        <v>5</v>
      </c>
      <c r="G10" s="3">
        <v>1</v>
      </c>
      <c r="H10" s="3">
        <v>1</v>
      </c>
      <c r="I10" s="3">
        <f t="shared" si="1"/>
        <v>19</v>
      </c>
    </row>
    <row r="11" s="8" customFormat="1" spans="1:9">
      <c r="A11" s="2" t="s">
        <v>133</v>
      </c>
      <c r="B11" s="5">
        <v>7003</v>
      </c>
      <c r="C11" s="2" t="s">
        <v>18</v>
      </c>
      <c r="D11" s="2" t="s">
        <v>42</v>
      </c>
      <c r="E11" s="3">
        <v>5</v>
      </c>
      <c r="F11" s="3">
        <v>7</v>
      </c>
      <c r="G11" s="3">
        <v>0</v>
      </c>
      <c r="H11" s="3">
        <v>0</v>
      </c>
      <c r="I11" s="3">
        <f t="shared" si="1"/>
        <v>12</v>
      </c>
    </row>
    <row r="12" s="8" customFormat="1" spans="1:9">
      <c r="A12" s="2" t="s">
        <v>133</v>
      </c>
      <c r="B12" s="5">
        <v>7003</v>
      </c>
      <c r="C12" s="2" t="s">
        <v>18</v>
      </c>
      <c r="D12" s="2" t="s">
        <v>138</v>
      </c>
      <c r="E12" s="3">
        <v>4</v>
      </c>
      <c r="F12" s="3">
        <v>3</v>
      </c>
      <c r="G12" s="3">
        <v>3</v>
      </c>
      <c r="H12" s="3">
        <v>0</v>
      </c>
      <c r="I12" s="3">
        <f t="shared" si="1"/>
        <v>10</v>
      </c>
    </row>
    <row r="13" s="8" customFormat="1" spans="1:9">
      <c r="A13" s="2" t="s">
        <v>133</v>
      </c>
      <c r="B13" s="5">
        <v>7003</v>
      </c>
      <c r="C13" s="2" t="s">
        <v>18</v>
      </c>
      <c r="D13" s="2" t="s">
        <v>41</v>
      </c>
      <c r="E13" s="3">
        <v>5</v>
      </c>
      <c r="F13" s="3">
        <v>0</v>
      </c>
      <c r="G13" s="3">
        <v>0</v>
      </c>
      <c r="H13" s="3">
        <v>0</v>
      </c>
      <c r="I13" s="3">
        <f t="shared" si="1"/>
        <v>5</v>
      </c>
    </row>
    <row r="14" s="8" customFormat="1" spans="1:9">
      <c r="A14" s="2" t="s">
        <v>133</v>
      </c>
      <c r="B14" s="5">
        <v>7003</v>
      </c>
      <c r="C14" s="2" t="s">
        <v>18</v>
      </c>
      <c r="D14" s="2" t="s">
        <v>139</v>
      </c>
      <c r="E14" s="3">
        <v>3</v>
      </c>
      <c r="F14" s="3">
        <v>3</v>
      </c>
      <c r="G14" s="3">
        <v>2</v>
      </c>
      <c r="H14" s="3">
        <v>0</v>
      </c>
      <c r="I14" s="3">
        <f t="shared" si="1"/>
        <v>8</v>
      </c>
    </row>
    <row r="15" s="8" customFormat="1" spans="1:9">
      <c r="A15" s="2" t="s">
        <v>133</v>
      </c>
      <c r="B15" s="5">
        <v>7003</v>
      </c>
      <c r="C15" s="2" t="s">
        <v>18</v>
      </c>
      <c r="D15" s="2" t="s">
        <v>47</v>
      </c>
      <c r="E15" s="3">
        <v>0</v>
      </c>
      <c r="F15" s="3">
        <v>2</v>
      </c>
      <c r="G15" s="3">
        <v>0</v>
      </c>
      <c r="H15" s="3">
        <v>0</v>
      </c>
      <c r="I15" s="3">
        <f t="shared" si="1"/>
        <v>2</v>
      </c>
    </row>
    <row r="16" s="8" customFormat="1" spans="1:9">
      <c r="A16" s="2" t="s">
        <v>133</v>
      </c>
      <c r="B16" s="5">
        <v>7003</v>
      </c>
      <c r="C16" s="2" t="s">
        <v>18</v>
      </c>
      <c r="D16" s="2" t="s">
        <v>52</v>
      </c>
      <c r="E16" s="3">
        <v>0</v>
      </c>
      <c r="F16" s="3">
        <v>1</v>
      </c>
      <c r="G16" s="3">
        <v>2</v>
      </c>
      <c r="H16" s="3">
        <v>0</v>
      </c>
      <c r="I16" s="3">
        <f t="shared" si="1"/>
        <v>3</v>
      </c>
    </row>
    <row r="17" s="8" customFormat="1" spans="1:9">
      <c r="A17" s="2" t="s">
        <v>133</v>
      </c>
      <c r="B17" s="5">
        <v>7003</v>
      </c>
      <c r="C17" s="2" t="s">
        <v>18</v>
      </c>
      <c r="D17" s="2" t="s">
        <v>55</v>
      </c>
      <c r="E17" s="3">
        <v>6</v>
      </c>
      <c r="F17" s="3">
        <v>3</v>
      </c>
      <c r="G17" s="3">
        <v>3</v>
      </c>
      <c r="H17" s="3">
        <v>0</v>
      </c>
      <c r="I17" s="3">
        <f t="shared" si="1"/>
        <v>12</v>
      </c>
    </row>
    <row r="18" s="8" customFormat="1" spans="1:9">
      <c r="A18" s="2" t="s">
        <v>133</v>
      </c>
      <c r="B18" s="5">
        <v>7003</v>
      </c>
      <c r="C18" s="2" t="s">
        <v>18</v>
      </c>
      <c r="D18" s="2" t="s">
        <v>140</v>
      </c>
      <c r="E18" s="3">
        <v>2</v>
      </c>
      <c r="F18" s="3">
        <v>3</v>
      </c>
      <c r="G18" s="3">
        <v>2</v>
      </c>
      <c r="H18" s="3">
        <v>1</v>
      </c>
      <c r="I18" s="3">
        <f t="shared" si="1"/>
        <v>8</v>
      </c>
    </row>
    <row r="19" s="8" customFormat="1" spans="1:9">
      <c r="A19" s="2" t="s">
        <v>133</v>
      </c>
      <c r="B19" s="5">
        <v>7003</v>
      </c>
      <c r="C19" s="2" t="s">
        <v>18</v>
      </c>
      <c r="D19" s="2" t="s">
        <v>141</v>
      </c>
      <c r="E19" s="3">
        <v>1</v>
      </c>
      <c r="F19" s="3">
        <v>0</v>
      </c>
      <c r="G19" s="3">
        <v>2</v>
      </c>
      <c r="H19" s="3">
        <v>0</v>
      </c>
      <c r="I19" s="3">
        <f t="shared" si="1"/>
        <v>3</v>
      </c>
    </row>
    <row r="20" s="8" customFormat="1" spans="1:9">
      <c r="A20" s="2" t="s">
        <v>133</v>
      </c>
      <c r="B20" s="5">
        <v>7003</v>
      </c>
      <c r="C20" s="2" t="s">
        <v>18</v>
      </c>
      <c r="D20" s="2" t="s">
        <v>57</v>
      </c>
      <c r="E20" s="3">
        <v>7</v>
      </c>
      <c r="F20" s="3">
        <v>3</v>
      </c>
      <c r="G20" s="3">
        <v>0</v>
      </c>
      <c r="H20" s="3">
        <v>0</v>
      </c>
      <c r="I20" s="3">
        <f t="shared" si="1"/>
        <v>10</v>
      </c>
    </row>
    <row r="21" s="8" customFormat="1" spans="1:9">
      <c r="A21" s="2" t="s">
        <v>133</v>
      </c>
      <c r="B21" s="5">
        <v>7003</v>
      </c>
      <c r="C21" s="2" t="s">
        <v>18</v>
      </c>
      <c r="D21" s="2" t="s">
        <v>60</v>
      </c>
      <c r="E21" s="3">
        <v>2</v>
      </c>
      <c r="F21" s="3">
        <v>3</v>
      </c>
      <c r="G21" s="3">
        <v>1</v>
      </c>
      <c r="H21" s="3">
        <v>3</v>
      </c>
      <c r="I21" s="3">
        <f t="shared" si="1"/>
        <v>9</v>
      </c>
    </row>
    <row r="22" s="8" customFormat="1" spans="1:9">
      <c r="A22" s="2" t="s">
        <v>133</v>
      </c>
      <c r="B22" s="5">
        <v>7003</v>
      </c>
      <c r="C22" s="2" t="s">
        <v>18</v>
      </c>
      <c r="D22" s="2" t="s">
        <v>142</v>
      </c>
      <c r="E22" s="3">
        <v>3</v>
      </c>
      <c r="F22" s="3">
        <v>3</v>
      </c>
      <c r="G22" s="3">
        <v>1</v>
      </c>
      <c r="H22" s="3">
        <v>0</v>
      </c>
      <c r="I22" s="3">
        <f t="shared" si="1"/>
        <v>7</v>
      </c>
    </row>
    <row r="23" s="8" customFormat="1" spans="1:9">
      <c r="A23" s="2" t="s">
        <v>133</v>
      </c>
      <c r="B23" s="5">
        <v>7003</v>
      </c>
      <c r="C23" s="2" t="s">
        <v>18</v>
      </c>
      <c r="D23" s="2" t="s">
        <v>143</v>
      </c>
      <c r="E23" s="3">
        <v>3</v>
      </c>
      <c r="F23" s="3">
        <v>4</v>
      </c>
      <c r="G23" s="3">
        <v>1</v>
      </c>
      <c r="H23" s="3">
        <v>0</v>
      </c>
      <c r="I23" s="3">
        <f t="shared" si="1"/>
        <v>8</v>
      </c>
    </row>
    <row r="24" s="8" customFormat="1" spans="1:9">
      <c r="A24" s="2" t="s">
        <v>133</v>
      </c>
      <c r="B24" s="5">
        <v>7003</v>
      </c>
      <c r="C24" s="2" t="s">
        <v>18</v>
      </c>
      <c r="D24" s="2" t="s">
        <v>65</v>
      </c>
      <c r="E24" s="3">
        <v>5</v>
      </c>
      <c r="F24" s="3">
        <v>4</v>
      </c>
      <c r="G24" s="3">
        <v>1</v>
      </c>
      <c r="H24" s="3">
        <v>1</v>
      </c>
      <c r="I24" s="3">
        <f t="shared" ref="I24:I36" si="2">SUM(E24:H24)</f>
        <v>11</v>
      </c>
    </row>
    <row r="25" s="8" customFormat="1" spans="1:9">
      <c r="A25" s="2" t="s">
        <v>133</v>
      </c>
      <c r="B25" s="5">
        <v>7003</v>
      </c>
      <c r="C25" s="2" t="s">
        <v>18</v>
      </c>
      <c r="D25" s="2" t="s">
        <v>63</v>
      </c>
      <c r="E25" s="3">
        <v>4</v>
      </c>
      <c r="F25" s="3">
        <v>6</v>
      </c>
      <c r="G25" s="3">
        <v>3</v>
      </c>
      <c r="H25" s="3">
        <v>2</v>
      </c>
      <c r="I25" s="3">
        <f t="shared" si="2"/>
        <v>15</v>
      </c>
    </row>
    <row r="26" s="8" customFormat="1" spans="1:9">
      <c r="A26" s="2" t="s">
        <v>133</v>
      </c>
      <c r="B26" s="5">
        <v>7003</v>
      </c>
      <c r="C26" s="2" t="s">
        <v>18</v>
      </c>
      <c r="D26" s="2" t="s">
        <v>144</v>
      </c>
      <c r="E26" s="3">
        <v>4</v>
      </c>
      <c r="F26" s="3">
        <v>0</v>
      </c>
      <c r="G26" s="3">
        <v>0</v>
      </c>
      <c r="H26" s="3">
        <v>0</v>
      </c>
      <c r="I26" s="3">
        <f t="shared" si="2"/>
        <v>4</v>
      </c>
    </row>
    <row r="27" s="8" customFormat="1" spans="1:9">
      <c r="A27" s="2" t="s">
        <v>133</v>
      </c>
      <c r="B27" s="5">
        <v>7003</v>
      </c>
      <c r="C27" s="2" t="s">
        <v>18</v>
      </c>
      <c r="D27" s="2" t="s">
        <v>71</v>
      </c>
      <c r="E27" s="3">
        <v>3</v>
      </c>
      <c r="F27" s="3">
        <v>4</v>
      </c>
      <c r="G27" s="3">
        <v>3</v>
      </c>
      <c r="H27" s="3">
        <v>1</v>
      </c>
      <c r="I27" s="3">
        <f t="shared" si="2"/>
        <v>11</v>
      </c>
    </row>
    <row r="28" s="8" customFormat="1" spans="1:9">
      <c r="A28" s="2" t="s">
        <v>133</v>
      </c>
      <c r="B28" s="5">
        <v>7003</v>
      </c>
      <c r="C28" s="2" t="s">
        <v>18</v>
      </c>
      <c r="D28" s="2" t="s">
        <v>66</v>
      </c>
      <c r="E28" s="3">
        <v>2</v>
      </c>
      <c r="F28" s="3">
        <v>3</v>
      </c>
      <c r="G28" s="3">
        <v>4</v>
      </c>
      <c r="H28" s="3">
        <v>0</v>
      </c>
      <c r="I28" s="3">
        <f t="shared" si="2"/>
        <v>9</v>
      </c>
    </row>
    <row r="29" s="8" customFormat="1" spans="1:9">
      <c r="A29" s="2" t="s">
        <v>133</v>
      </c>
      <c r="B29" s="5">
        <v>7003</v>
      </c>
      <c r="C29" s="2" t="s">
        <v>18</v>
      </c>
      <c r="D29" s="2" t="s">
        <v>145</v>
      </c>
      <c r="E29" s="3">
        <v>1</v>
      </c>
      <c r="F29" s="3">
        <v>0</v>
      </c>
      <c r="G29" s="3">
        <v>0</v>
      </c>
      <c r="H29" s="3">
        <v>1</v>
      </c>
      <c r="I29" s="3">
        <f t="shared" si="2"/>
        <v>2</v>
      </c>
    </row>
    <row r="30" s="8" customFormat="1" spans="1:9">
      <c r="A30" s="2" t="s">
        <v>133</v>
      </c>
      <c r="B30" s="5">
        <v>7003</v>
      </c>
      <c r="C30" s="2" t="s">
        <v>18</v>
      </c>
      <c r="D30" s="2" t="s">
        <v>73</v>
      </c>
      <c r="E30" s="3">
        <v>4</v>
      </c>
      <c r="F30" s="3">
        <v>4</v>
      </c>
      <c r="G30" s="3">
        <v>2</v>
      </c>
      <c r="H30" s="3">
        <v>0</v>
      </c>
      <c r="I30" s="3">
        <f t="shared" si="2"/>
        <v>10</v>
      </c>
    </row>
    <row r="31" s="8" customFormat="1" spans="1:9">
      <c r="A31" s="2" t="s">
        <v>133</v>
      </c>
      <c r="B31" s="5">
        <v>7003</v>
      </c>
      <c r="C31" s="2" t="s">
        <v>18</v>
      </c>
      <c r="D31" s="2" t="s">
        <v>76</v>
      </c>
      <c r="E31" s="3">
        <v>6</v>
      </c>
      <c r="F31" s="3">
        <v>4</v>
      </c>
      <c r="G31" s="3">
        <v>5</v>
      </c>
      <c r="H31" s="3">
        <v>1</v>
      </c>
      <c r="I31" s="3">
        <f t="shared" si="2"/>
        <v>16</v>
      </c>
    </row>
    <row r="32" s="8" customFormat="1" spans="1:9">
      <c r="A32" s="2" t="s">
        <v>133</v>
      </c>
      <c r="B32" s="5">
        <v>7003</v>
      </c>
      <c r="C32" s="2" t="s">
        <v>18</v>
      </c>
      <c r="D32" s="2" t="s">
        <v>78</v>
      </c>
      <c r="E32" s="3">
        <v>5</v>
      </c>
      <c r="F32" s="3">
        <v>4</v>
      </c>
      <c r="G32" s="3">
        <v>0</v>
      </c>
      <c r="H32" s="3">
        <v>0</v>
      </c>
      <c r="I32" s="3">
        <f t="shared" si="2"/>
        <v>9</v>
      </c>
    </row>
    <row r="33" s="8" customFormat="1" spans="1:9">
      <c r="A33" s="2" t="s">
        <v>133</v>
      </c>
      <c r="B33" s="5">
        <v>7003</v>
      </c>
      <c r="C33" s="2" t="s">
        <v>18</v>
      </c>
      <c r="D33" s="2" t="s">
        <v>146</v>
      </c>
      <c r="E33" s="3">
        <v>6</v>
      </c>
      <c r="F33" s="3">
        <v>4</v>
      </c>
      <c r="G33" s="3">
        <v>0</v>
      </c>
      <c r="H33" s="3">
        <v>0</v>
      </c>
      <c r="I33" s="3">
        <f t="shared" si="2"/>
        <v>10</v>
      </c>
    </row>
    <row r="34" s="8" customFormat="1" spans="1:9">
      <c r="A34" s="2" t="s">
        <v>133</v>
      </c>
      <c r="B34" s="5">
        <v>7003</v>
      </c>
      <c r="C34" s="2" t="s">
        <v>18</v>
      </c>
      <c r="D34" s="2" t="s">
        <v>84</v>
      </c>
      <c r="E34" s="3">
        <v>4</v>
      </c>
      <c r="F34" s="3">
        <v>5</v>
      </c>
      <c r="G34" s="3">
        <v>2</v>
      </c>
      <c r="H34" s="3">
        <v>1</v>
      </c>
      <c r="I34" s="3">
        <f t="shared" si="2"/>
        <v>12</v>
      </c>
    </row>
    <row r="35" s="8" customFormat="1" spans="1:9">
      <c r="A35" s="2" t="s">
        <v>133</v>
      </c>
      <c r="B35" s="5">
        <v>7003</v>
      </c>
      <c r="C35" s="2" t="s">
        <v>18</v>
      </c>
      <c r="D35" s="2" t="s">
        <v>147</v>
      </c>
      <c r="E35" s="3">
        <v>1</v>
      </c>
      <c r="F35" s="3">
        <v>0</v>
      </c>
      <c r="G35" s="3">
        <v>1</v>
      </c>
      <c r="H35" s="3">
        <v>0</v>
      </c>
      <c r="I35" s="3">
        <f t="shared" si="2"/>
        <v>2</v>
      </c>
    </row>
    <row r="36" s="8" customFormat="1" spans="1:9">
      <c r="A36" s="2" t="s">
        <v>133</v>
      </c>
      <c r="B36" s="5">
        <v>7003</v>
      </c>
      <c r="C36" s="2" t="s">
        <v>18</v>
      </c>
      <c r="D36" s="2" t="s">
        <v>148</v>
      </c>
      <c r="E36" s="3">
        <v>5</v>
      </c>
      <c r="F36" s="3">
        <v>4</v>
      </c>
      <c r="G36" s="3">
        <v>2</v>
      </c>
      <c r="H36" s="3">
        <v>1</v>
      </c>
      <c r="I36" s="3">
        <f t="shared" si="2"/>
        <v>12</v>
      </c>
    </row>
    <row r="37" customFormat="1" spans="1:9">
      <c r="E37" s="13">
        <f>SUM(E2:E36)</f>
        <v>138</v>
      </c>
      <c r="F37" s="13">
        <f>SUM(F2:F36)</f>
        <v>109</v>
      </c>
      <c r="G37" s="13">
        <f>SUM(G2:G36)</f>
        <v>57</v>
      </c>
      <c r="H37" s="13">
        <f>SUM(H2:H36)</f>
        <v>22</v>
      </c>
      <c r="I37">
        <f>SUM(I2:I36)</f>
        <v>326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opLeftCell="A11" workbookViewId="0">
      <selection activeCell="C32" sqref="C32"/>
    </sheetView>
  </sheetViews>
  <sheetFormatPr defaultColWidth="9.14285714285714" defaultRowHeight="15"/>
  <cols>
    <col min="1" max="1" width="13.2857142857143" style="8" customWidth="1"/>
    <col min="2" max="2" width="23.4285714285714" style="8" customWidth="1"/>
    <col min="3" max="3" width="16.4285714285714" style="8" customWidth="1"/>
    <col min="4" max="4" width="17" style="8" customWidth="1"/>
    <col min="5" max="5" width="10.2857142857143" style="8" customWidth="1"/>
    <col min="6" max="6" width="7.71428571428571" style="8" customWidth="1"/>
    <col min="7" max="7" width="8.85714285714286" style="8" customWidth="1"/>
    <col min="8" max="10" width="9.14285714285714" style="8"/>
    <col min="11" max="11" width="11.4285714285714" style="4" customWidth="1"/>
    <col min="12" max="16384" width="9.14285714285714" style="8"/>
  </cols>
  <sheetData>
    <row r="1" s="8" customFormat="1" spans="1:11">
      <c r="A1" s="2" t="s">
        <v>1</v>
      </c>
      <c r="B1" s="2" t="s">
        <v>2</v>
      </c>
      <c r="C1" s="2" t="s">
        <v>3</v>
      </c>
      <c r="D1" s="2" t="s">
        <v>25</v>
      </c>
      <c r="E1" s="3" t="s">
        <v>129</v>
      </c>
      <c r="F1" s="3" t="s">
        <v>130</v>
      </c>
      <c r="G1" s="3" t="s">
        <v>131</v>
      </c>
      <c r="H1" s="3">
        <v>42</v>
      </c>
      <c r="I1" s="3">
        <v>44</v>
      </c>
      <c r="J1" s="3">
        <v>46</v>
      </c>
      <c r="K1" s="3" t="s">
        <v>4</v>
      </c>
    </row>
    <row r="2" s="8" customFormat="1" spans="1:11">
      <c r="A2" s="2" t="s">
        <v>149</v>
      </c>
      <c r="B2" s="9" t="s">
        <v>150</v>
      </c>
      <c r="C2" s="2" t="s">
        <v>151</v>
      </c>
      <c r="D2" s="2" t="s">
        <v>31</v>
      </c>
      <c r="E2" s="3">
        <v>23</v>
      </c>
      <c r="F2" s="3">
        <v>14</v>
      </c>
      <c r="G2" s="3">
        <v>15</v>
      </c>
      <c r="H2" s="3">
        <v>11</v>
      </c>
      <c r="I2" s="3">
        <v>5</v>
      </c>
      <c r="J2" s="3">
        <v>9</v>
      </c>
      <c r="K2" s="3">
        <f t="shared" ref="K2:K26" si="0">SUM(E2:J2)</f>
        <v>77</v>
      </c>
    </row>
    <row r="3" s="8" customFormat="1" spans="1:11">
      <c r="A3" s="2" t="s">
        <v>149</v>
      </c>
      <c r="B3" s="9" t="s">
        <v>150</v>
      </c>
      <c r="C3" s="2" t="s">
        <v>152</v>
      </c>
      <c r="D3" s="2" t="s">
        <v>134</v>
      </c>
      <c r="E3" s="3">
        <v>9</v>
      </c>
      <c r="F3" s="3">
        <v>6</v>
      </c>
      <c r="G3" s="3">
        <v>7</v>
      </c>
      <c r="H3" s="3">
        <v>4</v>
      </c>
      <c r="I3" s="3">
        <v>5</v>
      </c>
      <c r="J3" s="3">
        <v>4</v>
      </c>
      <c r="K3" s="3">
        <f t="shared" si="0"/>
        <v>35</v>
      </c>
    </row>
    <row r="4" s="8" customFormat="1" spans="1:11">
      <c r="A4" s="2" t="s">
        <v>149</v>
      </c>
      <c r="B4" s="9" t="s">
        <v>150</v>
      </c>
      <c r="C4" s="2" t="s">
        <v>152</v>
      </c>
      <c r="D4" s="2" t="s">
        <v>33</v>
      </c>
      <c r="E4" s="3">
        <v>5</v>
      </c>
      <c r="F4" s="3">
        <v>4</v>
      </c>
      <c r="G4" s="3">
        <v>4</v>
      </c>
      <c r="H4" s="3">
        <v>6</v>
      </c>
      <c r="I4" s="3">
        <v>3</v>
      </c>
      <c r="J4" s="3">
        <v>3</v>
      </c>
      <c r="K4" s="3">
        <f t="shared" si="0"/>
        <v>25</v>
      </c>
    </row>
    <row r="5" s="8" customFormat="1" spans="1:11">
      <c r="A5" s="2" t="s">
        <v>149</v>
      </c>
      <c r="B5" s="9" t="s">
        <v>150</v>
      </c>
      <c r="C5" s="2" t="s">
        <v>152</v>
      </c>
      <c r="D5" s="2" t="s">
        <v>34</v>
      </c>
      <c r="E5" s="3">
        <v>15</v>
      </c>
      <c r="F5" s="3">
        <v>14</v>
      </c>
      <c r="G5" s="3">
        <v>10</v>
      </c>
      <c r="H5" s="3">
        <v>13</v>
      </c>
      <c r="I5" s="3">
        <v>7</v>
      </c>
      <c r="J5" s="3">
        <v>3</v>
      </c>
      <c r="K5" s="3">
        <f t="shared" si="0"/>
        <v>62</v>
      </c>
    </row>
    <row r="6" s="8" customFormat="1" spans="1:11">
      <c r="A6" s="2" t="s">
        <v>149</v>
      </c>
      <c r="B6" s="9" t="s">
        <v>150</v>
      </c>
      <c r="C6" s="2" t="s">
        <v>152</v>
      </c>
      <c r="D6" s="2" t="s">
        <v>35</v>
      </c>
      <c r="E6" s="3">
        <v>13</v>
      </c>
      <c r="F6" s="3">
        <v>5</v>
      </c>
      <c r="G6" s="3">
        <v>6</v>
      </c>
      <c r="H6" s="3">
        <v>12</v>
      </c>
      <c r="I6" s="3">
        <v>0</v>
      </c>
      <c r="J6" s="3">
        <v>0</v>
      </c>
      <c r="K6" s="3">
        <f t="shared" si="0"/>
        <v>36</v>
      </c>
    </row>
    <row r="7" s="8" customFormat="1" spans="1:11">
      <c r="A7" s="2" t="s">
        <v>149</v>
      </c>
      <c r="B7" s="9" t="s">
        <v>150</v>
      </c>
      <c r="C7" s="2" t="s">
        <v>152</v>
      </c>
      <c r="D7" s="2" t="s">
        <v>37</v>
      </c>
      <c r="E7" s="3">
        <v>6</v>
      </c>
      <c r="F7" s="3">
        <v>2</v>
      </c>
      <c r="G7" s="3">
        <v>0</v>
      </c>
      <c r="H7" s="3">
        <v>1</v>
      </c>
      <c r="I7" s="3">
        <v>2</v>
      </c>
      <c r="J7" s="3">
        <v>0</v>
      </c>
      <c r="K7" s="3">
        <f t="shared" si="0"/>
        <v>11</v>
      </c>
    </row>
    <row r="8" s="8" customFormat="1" spans="1:11">
      <c r="A8" s="2" t="s">
        <v>149</v>
      </c>
      <c r="B8" s="9" t="s">
        <v>150</v>
      </c>
      <c r="C8" s="2" t="s">
        <v>152</v>
      </c>
      <c r="D8" s="2" t="s">
        <v>153</v>
      </c>
      <c r="E8" s="3">
        <v>4</v>
      </c>
      <c r="F8" s="3">
        <v>9</v>
      </c>
      <c r="G8" s="3">
        <v>5</v>
      </c>
      <c r="H8" s="3">
        <v>0</v>
      </c>
      <c r="I8" s="3">
        <v>4</v>
      </c>
      <c r="J8" s="3">
        <v>1</v>
      </c>
      <c r="K8" s="3">
        <f t="shared" si="0"/>
        <v>23</v>
      </c>
    </row>
    <row r="9" s="8" customFormat="1" spans="1:11">
      <c r="A9" s="2" t="s">
        <v>149</v>
      </c>
      <c r="B9" s="9" t="s">
        <v>150</v>
      </c>
      <c r="C9" s="2" t="s">
        <v>152</v>
      </c>
      <c r="D9" s="2" t="s">
        <v>40</v>
      </c>
      <c r="E9" s="3">
        <v>1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f t="shared" si="0"/>
        <v>1</v>
      </c>
    </row>
    <row r="10" s="8" customFormat="1" spans="1:11">
      <c r="A10" s="2" t="s">
        <v>149</v>
      </c>
      <c r="B10" s="9" t="s">
        <v>150</v>
      </c>
      <c r="C10" s="2" t="s">
        <v>152</v>
      </c>
      <c r="D10" s="2" t="s">
        <v>42</v>
      </c>
      <c r="E10" s="3">
        <v>11</v>
      </c>
      <c r="F10" s="3">
        <v>2</v>
      </c>
      <c r="G10" s="3">
        <v>3</v>
      </c>
      <c r="H10" s="3">
        <v>2</v>
      </c>
      <c r="I10" s="3">
        <v>0</v>
      </c>
      <c r="J10" s="3">
        <v>0</v>
      </c>
      <c r="K10" s="3">
        <f t="shared" si="0"/>
        <v>18</v>
      </c>
    </row>
    <row r="11" s="8" customFormat="1" spans="1:11">
      <c r="A11" s="2" t="s">
        <v>149</v>
      </c>
      <c r="B11" s="9" t="s">
        <v>150</v>
      </c>
      <c r="C11" s="2" t="s">
        <v>152</v>
      </c>
      <c r="D11" s="2" t="s">
        <v>154</v>
      </c>
      <c r="E11" s="3">
        <v>5</v>
      </c>
      <c r="F11" s="3">
        <v>4</v>
      </c>
      <c r="G11" s="3">
        <v>4</v>
      </c>
      <c r="H11" s="3">
        <v>3</v>
      </c>
      <c r="I11" s="3">
        <v>0</v>
      </c>
      <c r="J11" s="3">
        <v>0</v>
      </c>
      <c r="K11" s="3">
        <f t="shared" si="0"/>
        <v>16</v>
      </c>
    </row>
    <row r="12" s="8" customFormat="1" spans="1:11">
      <c r="A12" s="2" t="s">
        <v>149</v>
      </c>
      <c r="B12" s="9" t="s">
        <v>150</v>
      </c>
      <c r="C12" s="2" t="s">
        <v>152</v>
      </c>
      <c r="D12" s="2" t="s">
        <v>46</v>
      </c>
      <c r="E12" s="3">
        <v>0</v>
      </c>
      <c r="F12" s="3">
        <v>0</v>
      </c>
      <c r="G12" s="3">
        <v>0</v>
      </c>
      <c r="H12" s="3">
        <v>2</v>
      </c>
      <c r="I12" s="3">
        <v>0</v>
      </c>
      <c r="J12" s="3">
        <v>0</v>
      </c>
      <c r="K12" s="3">
        <f t="shared" si="0"/>
        <v>2</v>
      </c>
    </row>
    <row r="13" s="8" customFormat="1" spans="1:11">
      <c r="A13" s="2" t="s">
        <v>149</v>
      </c>
      <c r="B13" s="9" t="s">
        <v>150</v>
      </c>
      <c r="C13" s="2" t="s">
        <v>152</v>
      </c>
      <c r="D13" s="8" t="s">
        <v>155</v>
      </c>
      <c r="E13" s="3">
        <v>1</v>
      </c>
      <c r="F13" s="3">
        <v>4</v>
      </c>
      <c r="G13" s="3">
        <v>2</v>
      </c>
      <c r="H13" s="3">
        <v>0</v>
      </c>
      <c r="I13" s="3">
        <v>0</v>
      </c>
      <c r="J13" s="3">
        <v>0</v>
      </c>
      <c r="K13" s="3">
        <f t="shared" si="0"/>
        <v>7</v>
      </c>
    </row>
    <row r="14" s="8" customFormat="1" spans="1:11">
      <c r="A14" s="2" t="s">
        <v>149</v>
      </c>
      <c r="B14" s="9" t="s">
        <v>150</v>
      </c>
      <c r="C14" s="2" t="s">
        <v>152</v>
      </c>
      <c r="D14" s="2" t="s">
        <v>156</v>
      </c>
      <c r="E14" s="3">
        <v>13</v>
      </c>
      <c r="F14" s="3">
        <v>5</v>
      </c>
      <c r="G14" s="3">
        <v>5</v>
      </c>
      <c r="H14" s="3">
        <v>0</v>
      </c>
      <c r="I14" s="3">
        <v>0</v>
      </c>
      <c r="J14" s="3">
        <v>0</v>
      </c>
      <c r="K14" s="3">
        <f t="shared" si="0"/>
        <v>23</v>
      </c>
    </row>
    <row r="15" s="8" customFormat="1" spans="1:11">
      <c r="A15" s="2" t="s">
        <v>149</v>
      </c>
      <c r="B15" s="9" t="s">
        <v>150</v>
      </c>
      <c r="C15" s="2" t="s">
        <v>152</v>
      </c>
      <c r="D15" s="2" t="s">
        <v>60</v>
      </c>
      <c r="E15" s="3">
        <v>9</v>
      </c>
      <c r="F15" s="3">
        <v>3</v>
      </c>
      <c r="G15" s="3">
        <v>4</v>
      </c>
      <c r="H15" s="3">
        <v>3</v>
      </c>
      <c r="I15" s="3">
        <v>0</v>
      </c>
      <c r="J15" s="3">
        <v>0</v>
      </c>
      <c r="K15" s="3">
        <f t="shared" si="0"/>
        <v>19</v>
      </c>
    </row>
    <row r="16" s="8" customFormat="1" spans="1:11">
      <c r="A16" s="2" t="s">
        <v>149</v>
      </c>
      <c r="B16" s="9" t="s">
        <v>150</v>
      </c>
      <c r="C16" s="2" t="s">
        <v>152</v>
      </c>
      <c r="D16" s="2" t="s">
        <v>142</v>
      </c>
      <c r="E16" s="3">
        <v>2</v>
      </c>
      <c r="F16" s="3">
        <v>0</v>
      </c>
      <c r="G16" s="3">
        <v>0</v>
      </c>
      <c r="H16" s="3">
        <v>4</v>
      </c>
      <c r="I16" s="3">
        <v>0</v>
      </c>
      <c r="J16" s="3">
        <v>0</v>
      </c>
      <c r="K16" s="3">
        <f t="shared" si="0"/>
        <v>6</v>
      </c>
    </row>
    <row r="17" s="8" customFormat="1" spans="1:11">
      <c r="A17" s="2" t="s">
        <v>149</v>
      </c>
      <c r="B17" s="9" t="s">
        <v>150</v>
      </c>
      <c r="C17" s="2" t="s">
        <v>152</v>
      </c>
      <c r="D17" s="2" t="s">
        <v>143</v>
      </c>
      <c r="E17" s="3">
        <v>4</v>
      </c>
      <c r="F17" s="3">
        <v>2</v>
      </c>
      <c r="G17" s="3">
        <v>3</v>
      </c>
      <c r="H17" s="3">
        <v>0</v>
      </c>
      <c r="I17" s="3">
        <v>1</v>
      </c>
      <c r="J17" s="3">
        <v>0</v>
      </c>
      <c r="K17" s="3">
        <f t="shared" si="0"/>
        <v>10</v>
      </c>
    </row>
    <row r="18" s="8" customFormat="1" spans="1:11">
      <c r="A18" s="2" t="s">
        <v>149</v>
      </c>
      <c r="B18" s="9" t="s">
        <v>150</v>
      </c>
      <c r="C18" s="2" t="s">
        <v>152</v>
      </c>
      <c r="D18" s="2" t="s">
        <v>157</v>
      </c>
      <c r="E18" s="3">
        <v>8</v>
      </c>
      <c r="F18" s="3">
        <v>5</v>
      </c>
      <c r="G18" s="3">
        <v>6</v>
      </c>
      <c r="H18" s="3">
        <v>1</v>
      </c>
      <c r="I18" s="3">
        <v>0</v>
      </c>
      <c r="J18" s="3">
        <v>0</v>
      </c>
      <c r="K18" s="3">
        <f t="shared" si="0"/>
        <v>20</v>
      </c>
    </row>
    <row r="19" s="8" customFormat="1" spans="1:11">
      <c r="A19" s="2" t="s">
        <v>149</v>
      </c>
      <c r="B19" s="9" t="s">
        <v>150</v>
      </c>
      <c r="C19" s="2" t="s">
        <v>152</v>
      </c>
      <c r="D19" s="2" t="s">
        <v>63</v>
      </c>
      <c r="E19" s="3">
        <v>5</v>
      </c>
      <c r="F19" s="3">
        <v>4</v>
      </c>
      <c r="G19" s="3">
        <v>5</v>
      </c>
      <c r="H19" s="3">
        <v>9</v>
      </c>
      <c r="I19" s="3">
        <v>2</v>
      </c>
      <c r="J19" s="3">
        <v>0</v>
      </c>
      <c r="K19" s="3">
        <f t="shared" si="0"/>
        <v>25</v>
      </c>
    </row>
    <row r="20" s="8" customFormat="1" spans="1:11">
      <c r="A20" s="2" t="s">
        <v>149</v>
      </c>
      <c r="B20" s="9" t="s">
        <v>150</v>
      </c>
      <c r="C20" s="2" t="s">
        <v>152</v>
      </c>
      <c r="D20" s="2" t="s">
        <v>71</v>
      </c>
      <c r="E20" s="3">
        <v>4</v>
      </c>
      <c r="F20" s="3">
        <v>1</v>
      </c>
      <c r="G20" s="3">
        <v>1</v>
      </c>
      <c r="H20" s="3">
        <v>1</v>
      </c>
      <c r="I20" s="3">
        <v>1</v>
      </c>
      <c r="J20" s="3">
        <v>0</v>
      </c>
      <c r="K20" s="3">
        <f t="shared" si="0"/>
        <v>8</v>
      </c>
    </row>
    <row r="21" s="8" customFormat="1" spans="1:11">
      <c r="A21" s="2" t="s">
        <v>149</v>
      </c>
      <c r="B21" s="9" t="s">
        <v>150</v>
      </c>
      <c r="C21" s="2" t="s">
        <v>152</v>
      </c>
      <c r="D21" s="2" t="s">
        <v>66</v>
      </c>
      <c r="E21" s="3">
        <v>9</v>
      </c>
      <c r="F21" s="3">
        <v>2</v>
      </c>
      <c r="G21" s="3">
        <v>1</v>
      </c>
      <c r="H21" s="3">
        <v>3</v>
      </c>
      <c r="I21" s="3">
        <v>0</v>
      </c>
      <c r="J21" s="3">
        <v>0</v>
      </c>
      <c r="K21" s="3">
        <f t="shared" si="0"/>
        <v>15</v>
      </c>
    </row>
    <row r="22" s="8" customFormat="1" spans="1:11">
      <c r="A22" s="2" t="s">
        <v>149</v>
      </c>
      <c r="B22" s="9" t="s">
        <v>150</v>
      </c>
      <c r="C22" s="2" t="s">
        <v>152</v>
      </c>
      <c r="D22" s="2" t="s">
        <v>73</v>
      </c>
      <c r="E22" s="3">
        <v>10</v>
      </c>
      <c r="F22" s="3">
        <v>4</v>
      </c>
      <c r="G22" s="3">
        <v>5</v>
      </c>
      <c r="H22" s="3">
        <v>5</v>
      </c>
      <c r="I22" s="3">
        <v>0</v>
      </c>
      <c r="J22" s="3">
        <v>0</v>
      </c>
      <c r="K22" s="3">
        <f t="shared" si="0"/>
        <v>24</v>
      </c>
    </row>
    <row r="23" s="8" customFormat="1" spans="1:11">
      <c r="A23" s="2" t="s">
        <v>149</v>
      </c>
      <c r="B23" s="9" t="s">
        <v>150</v>
      </c>
      <c r="C23" s="2" t="s">
        <v>152</v>
      </c>
      <c r="D23" s="2" t="s">
        <v>158</v>
      </c>
      <c r="E23" s="3">
        <v>11</v>
      </c>
      <c r="F23" s="3">
        <v>5</v>
      </c>
      <c r="G23" s="3">
        <v>0</v>
      </c>
      <c r="H23" s="3">
        <v>4</v>
      </c>
      <c r="I23" s="3">
        <v>0</v>
      </c>
      <c r="J23" s="3">
        <v>0</v>
      </c>
      <c r="K23" s="3">
        <f t="shared" si="0"/>
        <v>20</v>
      </c>
    </row>
    <row r="24" s="8" customFormat="1" spans="1:11">
      <c r="A24" s="2" t="s">
        <v>149</v>
      </c>
      <c r="B24" s="9" t="s">
        <v>150</v>
      </c>
      <c r="C24" s="2" t="s">
        <v>152</v>
      </c>
      <c r="D24" s="2" t="s">
        <v>78</v>
      </c>
      <c r="E24" s="3">
        <v>5</v>
      </c>
      <c r="F24" s="3">
        <v>3</v>
      </c>
      <c r="G24" s="3">
        <v>5</v>
      </c>
      <c r="H24" s="3">
        <v>4</v>
      </c>
      <c r="I24" s="3">
        <v>0</v>
      </c>
      <c r="J24" s="3">
        <v>0</v>
      </c>
      <c r="K24" s="3">
        <f t="shared" si="0"/>
        <v>17</v>
      </c>
    </row>
    <row r="25" s="8" customFormat="1" spans="1:11">
      <c r="A25" s="2" t="s">
        <v>149</v>
      </c>
      <c r="B25" s="9" t="s">
        <v>150</v>
      </c>
      <c r="C25" s="2" t="s">
        <v>152</v>
      </c>
      <c r="D25" s="2" t="s">
        <v>84</v>
      </c>
      <c r="E25" s="3">
        <v>6</v>
      </c>
      <c r="F25" s="3">
        <v>4</v>
      </c>
      <c r="G25" s="3">
        <v>2</v>
      </c>
      <c r="H25" s="3">
        <v>6</v>
      </c>
      <c r="I25" s="3">
        <v>0</v>
      </c>
      <c r="J25" s="3">
        <v>0</v>
      </c>
      <c r="K25" s="3">
        <f t="shared" si="0"/>
        <v>18</v>
      </c>
    </row>
    <row r="26" customFormat="1" spans="1:11">
      <c r="E26" s="13">
        <f t="shared" ref="E26:K26" si="1">SUM(E2:E25)</f>
        <v>179</v>
      </c>
      <c r="F26" s="13">
        <f t="shared" si="1"/>
        <v>102</v>
      </c>
      <c r="G26" s="13">
        <f t="shared" si="1"/>
        <v>93</v>
      </c>
      <c r="H26" s="13">
        <f t="shared" si="1"/>
        <v>94</v>
      </c>
      <c r="I26" s="13">
        <f t="shared" si="1"/>
        <v>30</v>
      </c>
      <c r="J26" s="13">
        <f t="shared" si="1"/>
        <v>20</v>
      </c>
      <c r="K26">
        <f t="shared" si="1"/>
        <v>518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48535"/>
  <sheetViews>
    <sheetView tabSelected="1" workbookViewId="0">
      <pane ySplit="1" topLeftCell="A2" activePane="bottomLeft" state="frozen"/>
      <selection/>
      <selection pane="bottomLeft" activeCell="H2" sqref="H2"/>
    </sheetView>
  </sheetViews>
  <sheetFormatPr defaultColWidth="9.14285714285714" defaultRowHeight="15"/>
  <cols>
    <col min="1" max="1" width="13.2857142857143" style="8" customWidth="1"/>
    <col min="2" max="2" width="23.4285714285714" style="8" customWidth="1"/>
    <col min="3" max="3" width="16.4285714285714" style="8" customWidth="1"/>
    <col min="4" max="4" width="17" style="8" customWidth="1"/>
    <col min="5" max="5" width="10.2857142857143" style="8" customWidth="1"/>
    <col min="6" max="6" width="7.71428571428571" style="8" customWidth="1"/>
    <col min="7" max="7" width="8.85714285714286" style="8" customWidth="1"/>
    <col min="8" max="13" width="9.14285714285714" style="8"/>
    <col min="14" max="14" width="11.4285714285714" style="4" customWidth="1"/>
    <col min="15" max="16384" width="9.14285714285714" style="8"/>
  </cols>
  <sheetData>
    <row r="1" s="8" customFormat="1" spans="1:15">
      <c r="A1" s="2" t="s">
        <v>1</v>
      </c>
      <c r="B1" s="2" t="s">
        <v>2</v>
      </c>
      <c r="C1" s="2" t="s">
        <v>3</v>
      </c>
      <c r="D1" s="2" t="s">
        <v>25</v>
      </c>
      <c r="E1" s="3">
        <v>28</v>
      </c>
      <c r="F1" s="3">
        <v>30</v>
      </c>
      <c r="G1" s="3">
        <v>32</v>
      </c>
      <c r="H1" s="3">
        <v>34</v>
      </c>
      <c r="I1" s="3">
        <v>36</v>
      </c>
      <c r="J1" s="3">
        <v>38</v>
      </c>
      <c r="K1" s="3">
        <v>40</v>
      </c>
      <c r="L1" s="3">
        <v>42</v>
      </c>
      <c r="M1" s="3">
        <v>44</v>
      </c>
      <c r="N1" s="3" t="s">
        <v>4</v>
      </c>
    </row>
    <row r="2" s="8" customFormat="1" spans="1:15">
      <c r="A2" s="2" t="s">
        <v>5</v>
      </c>
      <c r="B2" s="9"/>
      <c r="C2" s="2" t="s">
        <v>21</v>
      </c>
      <c r="D2" s="2" t="s">
        <v>159</v>
      </c>
      <c r="E2" s="3">
        <v>0</v>
      </c>
      <c r="F2" s="3">
        <v>0</v>
      </c>
      <c r="G2" s="3">
        <v>1</v>
      </c>
      <c r="H2" s="3">
        <v>3</v>
      </c>
      <c r="I2" s="3">
        <v>1</v>
      </c>
      <c r="J2" s="3">
        <v>6</v>
      </c>
      <c r="K2" s="3">
        <v>1</v>
      </c>
      <c r="L2" s="3">
        <v>4</v>
      </c>
      <c r="M2" s="3">
        <v>3</v>
      </c>
      <c r="N2" s="3">
        <f t="shared" ref="N2:N14" si="0">SUM(E2:M2)</f>
        <v>19</v>
      </c>
    </row>
    <row r="3" s="8" customFormat="1" spans="1:15">
      <c r="A3" s="2"/>
      <c r="B3" s="9"/>
      <c r="C3" s="2" t="s">
        <v>21</v>
      </c>
      <c r="D3" s="2" t="s">
        <v>160</v>
      </c>
      <c r="E3" s="3">
        <v>0</v>
      </c>
      <c r="F3" s="3">
        <v>0</v>
      </c>
      <c r="G3" s="3">
        <v>0</v>
      </c>
      <c r="H3" s="3">
        <v>4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f t="shared" si="0"/>
        <v>4</v>
      </c>
    </row>
    <row r="4" s="8" customFormat="1" spans="1:15">
      <c r="A4" s="2"/>
      <c r="B4" s="9"/>
      <c r="C4" s="2" t="s">
        <v>21</v>
      </c>
      <c r="D4" s="2" t="s">
        <v>161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1</v>
      </c>
      <c r="K4" s="3">
        <v>0</v>
      </c>
      <c r="L4" s="3">
        <v>0</v>
      </c>
      <c r="M4" s="3">
        <v>0</v>
      </c>
      <c r="N4" s="3">
        <f t="shared" si="0"/>
        <v>1</v>
      </c>
    </row>
    <row r="5" s="8" customFormat="1" spans="1:15">
      <c r="A5" s="2"/>
      <c r="B5" s="9"/>
      <c r="C5" s="2" t="s">
        <v>21</v>
      </c>
      <c r="D5" s="2" t="s">
        <v>162</v>
      </c>
      <c r="E5" s="3">
        <v>0</v>
      </c>
      <c r="F5" s="3">
        <v>0</v>
      </c>
      <c r="G5" s="3">
        <v>2</v>
      </c>
      <c r="H5" s="3">
        <v>1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f t="shared" si="0"/>
        <v>3</v>
      </c>
    </row>
    <row r="6" s="8" customFormat="1" spans="1:15">
      <c r="A6" s="2"/>
      <c r="B6" s="9"/>
      <c r="C6" s="2" t="s">
        <v>21</v>
      </c>
      <c r="D6" s="2" t="s">
        <v>163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1</v>
      </c>
      <c r="L6" s="3">
        <v>0</v>
      </c>
      <c r="M6" s="3">
        <v>0</v>
      </c>
      <c r="N6" s="3">
        <f t="shared" si="0"/>
        <v>1</v>
      </c>
    </row>
    <row r="7" s="8" customFormat="1" spans="1:15">
      <c r="A7" s="2"/>
      <c r="B7" s="9"/>
      <c r="C7" s="2" t="s">
        <v>21</v>
      </c>
      <c r="D7" s="2" t="s">
        <v>164</v>
      </c>
      <c r="E7" s="3">
        <v>0</v>
      </c>
      <c r="F7" s="3">
        <v>0</v>
      </c>
      <c r="G7" s="3">
        <v>3</v>
      </c>
      <c r="H7" s="3">
        <v>2</v>
      </c>
      <c r="I7" s="3">
        <v>1</v>
      </c>
      <c r="J7" s="3">
        <v>0</v>
      </c>
      <c r="K7" s="3">
        <v>0</v>
      </c>
      <c r="L7" s="3">
        <v>0</v>
      </c>
      <c r="M7" s="3">
        <v>0</v>
      </c>
      <c r="N7" s="3">
        <f t="shared" si="0"/>
        <v>6</v>
      </c>
    </row>
    <row r="8" s="8" customFormat="1" spans="1:15">
      <c r="A8" s="2"/>
      <c r="B8" s="9"/>
      <c r="C8" s="2" t="s">
        <v>21</v>
      </c>
      <c r="D8" s="2" t="s">
        <v>165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f t="shared" si="0"/>
        <v>1</v>
      </c>
    </row>
    <row r="9" s="8" customFormat="1" spans="1:15">
      <c r="A9" s="2"/>
      <c r="B9" s="9"/>
      <c r="C9" s="2" t="s">
        <v>21</v>
      </c>
      <c r="D9" s="2" t="s">
        <v>166</v>
      </c>
      <c r="E9" s="3">
        <v>0</v>
      </c>
      <c r="F9" s="3">
        <v>0</v>
      </c>
      <c r="G9" s="3">
        <v>2</v>
      </c>
      <c r="H9" s="3">
        <v>5</v>
      </c>
      <c r="I9" s="3">
        <v>1</v>
      </c>
      <c r="J9" s="3">
        <v>1</v>
      </c>
      <c r="K9" s="3">
        <v>0</v>
      </c>
      <c r="L9" s="3">
        <v>5</v>
      </c>
      <c r="M9" s="3">
        <v>0</v>
      </c>
      <c r="N9" s="3">
        <f t="shared" si="0"/>
        <v>14</v>
      </c>
    </row>
    <row r="10" s="8" customFormat="1" spans="1:15">
      <c r="A10" s="2"/>
      <c r="B10" s="9"/>
      <c r="C10" s="2" t="s">
        <v>21</v>
      </c>
      <c r="D10" s="2" t="s">
        <v>167</v>
      </c>
      <c r="E10" s="3">
        <v>0</v>
      </c>
      <c r="F10" s="3">
        <v>0</v>
      </c>
      <c r="G10" s="3">
        <v>0</v>
      </c>
      <c r="H10" s="3">
        <v>1</v>
      </c>
      <c r="I10" s="3">
        <v>1</v>
      </c>
      <c r="J10" s="3">
        <v>0</v>
      </c>
      <c r="K10" s="3">
        <v>0</v>
      </c>
      <c r="L10" s="3">
        <v>0</v>
      </c>
      <c r="M10" s="3">
        <v>0</v>
      </c>
      <c r="N10" s="3">
        <f t="shared" si="0"/>
        <v>2</v>
      </c>
    </row>
    <row r="11" s="8" customFormat="1" spans="1:15">
      <c r="A11" s="2"/>
      <c r="B11" s="9"/>
      <c r="C11" s="2" t="s">
        <v>21</v>
      </c>
      <c r="D11" s="2" t="s">
        <v>168</v>
      </c>
      <c r="E11" s="3">
        <v>0</v>
      </c>
      <c r="F11" s="3">
        <v>0</v>
      </c>
      <c r="G11" s="3">
        <v>2</v>
      </c>
      <c r="H11" s="3">
        <v>0</v>
      </c>
      <c r="I11" s="3">
        <v>0</v>
      </c>
      <c r="J11" s="3">
        <v>1</v>
      </c>
      <c r="K11" s="3">
        <v>0</v>
      </c>
      <c r="L11" s="3">
        <v>0</v>
      </c>
      <c r="M11" s="3">
        <v>0</v>
      </c>
      <c r="N11" s="3">
        <f t="shared" si="0"/>
        <v>3</v>
      </c>
    </row>
    <row r="12" s="8" customFormat="1" spans="1:15">
      <c r="A12" s="10"/>
      <c r="B12" s="11"/>
      <c r="C12" s="10" t="s">
        <v>21</v>
      </c>
      <c r="D12" s="10" t="s">
        <v>169</v>
      </c>
      <c r="E12" s="6">
        <v>0</v>
      </c>
      <c r="F12" s="6">
        <v>0</v>
      </c>
      <c r="G12" s="6">
        <v>0</v>
      </c>
      <c r="H12" s="6">
        <v>1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f t="shared" si="0"/>
        <v>1</v>
      </c>
      <c r="O12" s="12">
        <f>SUM(N2:N12)</f>
        <v>55</v>
      </c>
    </row>
    <row r="13" s="8" customFormat="1" spans="1:15">
      <c r="A13" s="2" t="s">
        <v>19</v>
      </c>
      <c r="B13" s="9"/>
      <c r="C13" s="2" t="s">
        <v>21</v>
      </c>
      <c r="D13" s="2" t="s">
        <v>162</v>
      </c>
      <c r="E13" s="3">
        <v>3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f t="shared" si="0"/>
        <v>3</v>
      </c>
    </row>
    <row r="14" s="8" customFormat="1" spans="1:15">
      <c r="A14" s="10" t="s">
        <v>19</v>
      </c>
      <c r="B14" s="11"/>
      <c r="C14" s="10" t="s">
        <v>21</v>
      </c>
      <c r="D14" s="10" t="s">
        <v>160</v>
      </c>
      <c r="E14" s="6">
        <v>3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1</v>
      </c>
      <c r="M14" s="6">
        <v>0</v>
      </c>
      <c r="N14" s="6">
        <f t="shared" si="0"/>
        <v>4</v>
      </c>
      <c r="O14" s="12">
        <f>N13+N14</f>
        <v>7</v>
      </c>
    </row>
    <row r="15" s="8" customFormat="1" spans="1:15">
      <c r="A15" s="2"/>
      <c r="B15" s="9"/>
      <c r="C15" s="2"/>
      <c r="D15" s="2"/>
      <c r="E15" s="3">
        <f t="shared" ref="E15:O15" si="1">SUM(E2:E14)</f>
        <v>6</v>
      </c>
      <c r="F15" s="3">
        <f t="shared" si="1"/>
        <v>0</v>
      </c>
      <c r="G15" s="3">
        <f t="shared" si="1"/>
        <v>10</v>
      </c>
      <c r="H15" s="3">
        <f t="shared" si="1"/>
        <v>18</v>
      </c>
      <c r="I15" s="3">
        <f t="shared" si="1"/>
        <v>4</v>
      </c>
      <c r="J15" s="3">
        <f t="shared" si="1"/>
        <v>9</v>
      </c>
      <c r="K15" s="3">
        <f t="shared" si="1"/>
        <v>2</v>
      </c>
      <c r="L15" s="3">
        <f t="shared" si="1"/>
        <v>10</v>
      </c>
      <c r="M15" s="3">
        <f t="shared" si="1"/>
        <v>3</v>
      </c>
      <c r="N15" s="3">
        <f t="shared" si="1"/>
        <v>62</v>
      </c>
      <c r="O15" s="3">
        <f t="shared" si="1"/>
        <v>62</v>
      </c>
    </row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</sheetData>
  <pageMargins left="0.75" right="0.75" top="1" bottom="1" header="0.5" footer="0.5"/>
  <headerFooter/>
  <ignoredErrors>
    <ignoredError sqref="F15:M15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workbookViewId="0">
      <selection activeCell="O12" sqref="O12"/>
    </sheetView>
  </sheetViews>
  <sheetFormatPr defaultColWidth="9.14285714285714" defaultRowHeight="15"/>
  <cols>
    <col min="1" max="1" width="13.2857142857143" customWidth="1"/>
    <col min="2" max="2" width="23.4285714285714" customWidth="1"/>
    <col min="3" max="3" width="16.4285714285714" customWidth="1"/>
    <col min="4" max="4" width="17" customWidth="1"/>
    <col min="5" max="5" width="10.2857142857143" customWidth="1"/>
    <col min="6" max="6" width="7.71428571428571" customWidth="1"/>
    <col min="7" max="7" width="8.85714285714286" customWidth="1"/>
    <col min="14" max="14" width="11.4285714285714" customWidth="1"/>
  </cols>
  <sheetData>
    <row r="1" spans="1:15">
      <c r="A1" s="3" t="s">
        <v>1</v>
      </c>
      <c r="B1" s="3" t="s">
        <v>2</v>
      </c>
      <c r="C1" s="3" t="s">
        <v>3</v>
      </c>
      <c r="D1" s="3" t="s">
        <v>25</v>
      </c>
      <c r="E1" s="3">
        <v>28</v>
      </c>
      <c r="F1" s="3">
        <v>30</v>
      </c>
      <c r="G1" s="3">
        <v>32</v>
      </c>
      <c r="H1" s="3">
        <v>34</v>
      </c>
      <c r="I1" s="3">
        <v>36</v>
      </c>
      <c r="J1" s="3">
        <v>38</v>
      </c>
      <c r="K1" s="3">
        <v>40</v>
      </c>
      <c r="L1" s="3">
        <v>42</v>
      </c>
      <c r="M1" s="3">
        <v>44</v>
      </c>
      <c r="N1" s="3" t="s">
        <v>4</v>
      </c>
    </row>
    <row r="2" s="4" customFormat="1" spans="1:15">
      <c r="A2" s="3" t="s">
        <v>29</v>
      </c>
      <c r="B2" s="5">
        <v>490</v>
      </c>
      <c r="C2" s="3" t="s">
        <v>22</v>
      </c>
      <c r="D2" s="3" t="s">
        <v>159</v>
      </c>
      <c r="E2" s="3">
        <v>0</v>
      </c>
      <c r="F2" s="3">
        <v>8</v>
      </c>
      <c r="G2" s="3">
        <v>1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f t="shared" ref="N2:N11" si="0">SUM(E2:M2)</f>
        <v>9</v>
      </c>
    </row>
    <row r="3" s="4" customFormat="1" spans="1:15">
      <c r="A3" s="3" t="s">
        <v>29</v>
      </c>
      <c r="B3" s="5">
        <v>490</v>
      </c>
      <c r="C3" s="3" t="s">
        <v>22</v>
      </c>
      <c r="D3" s="3" t="s">
        <v>160</v>
      </c>
      <c r="E3" s="3">
        <v>0</v>
      </c>
      <c r="F3" s="3">
        <v>3</v>
      </c>
      <c r="G3" s="3">
        <v>0</v>
      </c>
      <c r="H3" s="3">
        <v>0</v>
      </c>
      <c r="I3" s="3">
        <v>1</v>
      </c>
      <c r="J3" s="3">
        <v>1</v>
      </c>
      <c r="K3" s="3">
        <v>0</v>
      </c>
      <c r="L3" s="3">
        <v>0</v>
      </c>
      <c r="M3" s="3">
        <v>0</v>
      </c>
      <c r="N3" s="3">
        <f t="shared" si="0"/>
        <v>5</v>
      </c>
    </row>
    <row r="4" s="4" customFormat="1" spans="1:15">
      <c r="A4" s="6" t="s">
        <v>29</v>
      </c>
      <c r="B4" s="6">
        <v>490</v>
      </c>
      <c r="C4" s="6" t="s">
        <v>22</v>
      </c>
      <c r="D4" s="6" t="s">
        <v>170</v>
      </c>
      <c r="E4" s="6">
        <v>0</v>
      </c>
      <c r="F4" s="6">
        <v>4</v>
      </c>
      <c r="G4" s="6">
        <v>2</v>
      </c>
      <c r="H4" s="6">
        <v>2</v>
      </c>
      <c r="I4" s="6">
        <v>4</v>
      </c>
      <c r="J4" s="6">
        <v>2</v>
      </c>
      <c r="K4" s="6">
        <v>0</v>
      </c>
      <c r="L4" s="6">
        <v>0</v>
      </c>
      <c r="M4" s="6">
        <v>0</v>
      </c>
      <c r="N4" s="6">
        <f t="shared" si="0"/>
        <v>14</v>
      </c>
      <c r="O4" s="7">
        <f>N2+N3+N4</f>
        <v>28</v>
      </c>
    </row>
    <row r="5" s="4" customFormat="1" spans="1:15">
      <c r="A5" s="3" t="s">
        <v>23</v>
      </c>
      <c r="B5" s="5">
        <v>817</v>
      </c>
      <c r="C5" s="3" t="s">
        <v>171</v>
      </c>
      <c r="D5" s="3" t="s">
        <v>159</v>
      </c>
      <c r="E5" s="3">
        <v>0</v>
      </c>
      <c r="F5" s="3">
        <v>0</v>
      </c>
      <c r="G5" s="3">
        <v>10</v>
      </c>
      <c r="H5" s="3">
        <v>10</v>
      </c>
      <c r="I5" s="3">
        <v>10</v>
      </c>
      <c r="J5" s="3">
        <v>11</v>
      </c>
      <c r="K5" s="3">
        <v>13</v>
      </c>
      <c r="L5" s="3">
        <v>11</v>
      </c>
      <c r="M5" s="3">
        <v>0</v>
      </c>
      <c r="N5" s="3">
        <f t="shared" si="0"/>
        <v>65</v>
      </c>
    </row>
    <row r="6" s="4" customFormat="1" spans="1:15">
      <c r="A6" s="3" t="s">
        <v>23</v>
      </c>
      <c r="B6" s="5">
        <v>817</v>
      </c>
      <c r="C6" s="3"/>
      <c r="D6" s="3" t="s">
        <v>160</v>
      </c>
      <c r="E6" s="3">
        <v>0</v>
      </c>
      <c r="F6" s="3">
        <v>0</v>
      </c>
      <c r="G6" s="3">
        <v>3</v>
      </c>
      <c r="H6" s="3">
        <v>2</v>
      </c>
      <c r="I6" s="3">
        <v>3</v>
      </c>
      <c r="J6" s="3">
        <v>6</v>
      </c>
      <c r="K6" s="3">
        <v>5</v>
      </c>
      <c r="L6" s="3">
        <v>3</v>
      </c>
      <c r="M6" s="3">
        <v>0</v>
      </c>
      <c r="N6" s="3">
        <f t="shared" si="0"/>
        <v>22</v>
      </c>
    </row>
    <row r="7" s="4" customFormat="1" spans="1:15">
      <c r="A7" s="6" t="s">
        <v>23</v>
      </c>
      <c r="B7" s="6">
        <v>817</v>
      </c>
      <c r="C7" s="6"/>
      <c r="D7" s="6" t="s">
        <v>172</v>
      </c>
      <c r="E7" s="6">
        <v>0</v>
      </c>
      <c r="F7" s="6">
        <v>0</v>
      </c>
      <c r="G7" s="6">
        <v>2</v>
      </c>
      <c r="H7" s="6">
        <v>2</v>
      </c>
      <c r="I7" s="6">
        <v>2</v>
      </c>
      <c r="J7" s="6">
        <v>2</v>
      </c>
      <c r="K7" s="6">
        <v>2</v>
      </c>
      <c r="L7" s="6">
        <v>2</v>
      </c>
      <c r="M7" s="6">
        <v>0</v>
      </c>
      <c r="N7" s="6">
        <f t="shared" si="0"/>
        <v>12</v>
      </c>
      <c r="O7" s="7">
        <f>N5+N6+N7</f>
        <v>99</v>
      </c>
    </row>
    <row r="8" s="4" customFormat="1" spans="1:15">
      <c r="A8" s="3"/>
      <c r="B8" s="5">
        <v>807</v>
      </c>
      <c r="C8" s="3" t="s">
        <v>22</v>
      </c>
      <c r="D8" s="3" t="s">
        <v>159</v>
      </c>
      <c r="E8" s="3">
        <v>0</v>
      </c>
      <c r="F8" s="3">
        <v>4</v>
      </c>
      <c r="G8" s="3">
        <v>1</v>
      </c>
      <c r="H8" s="3">
        <v>4</v>
      </c>
      <c r="I8" s="3">
        <v>4</v>
      </c>
      <c r="J8" s="3">
        <v>4</v>
      </c>
      <c r="K8" s="3">
        <v>4</v>
      </c>
      <c r="L8" s="3">
        <v>0</v>
      </c>
      <c r="M8" s="3">
        <v>0</v>
      </c>
      <c r="N8" s="3">
        <f t="shared" si="0"/>
        <v>21</v>
      </c>
    </row>
    <row r="9" s="4" customFormat="1" spans="1:15">
      <c r="A9" s="3"/>
      <c r="B9" s="5">
        <v>807</v>
      </c>
      <c r="C9" s="3"/>
      <c r="D9" s="3" t="s">
        <v>160</v>
      </c>
      <c r="E9" s="3">
        <v>0</v>
      </c>
      <c r="F9" s="3">
        <v>3</v>
      </c>
      <c r="G9" s="3">
        <v>2</v>
      </c>
      <c r="H9" s="3">
        <v>2</v>
      </c>
      <c r="I9" s="3">
        <v>3</v>
      </c>
      <c r="J9" s="3">
        <v>2</v>
      </c>
      <c r="K9" s="3">
        <v>3</v>
      </c>
      <c r="L9" s="3">
        <v>0</v>
      </c>
      <c r="M9" s="3">
        <v>0</v>
      </c>
      <c r="N9" s="3">
        <f t="shared" si="0"/>
        <v>15</v>
      </c>
    </row>
    <row r="10" s="4" customFormat="1" spans="1:15">
      <c r="A10" s="6"/>
      <c r="B10" s="6">
        <v>807</v>
      </c>
      <c r="C10" s="6"/>
      <c r="D10" s="6" t="s">
        <v>172</v>
      </c>
      <c r="E10" s="6">
        <v>0</v>
      </c>
      <c r="F10" s="6">
        <v>2</v>
      </c>
      <c r="G10" s="6">
        <v>2</v>
      </c>
      <c r="H10" s="6">
        <v>2</v>
      </c>
      <c r="I10" s="6">
        <v>2</v>
      </c>
      <c r="J10" s="6">
        <v>2</v>
      </c>
      <c r="K10" s="6">
        <v>2</v>
      </c>
      <c r="L10" s="6">
        <v>0</v>
      </c>
      <c r="M10" s="6">
        <v>0</v>
      </c>
      <c r="N10" s="6">
        <f t="shared" si="0"/>
        <v>12</v>
      </c>
      <c r="O10" s="7">
        <f>N8+N9+N10</f>
        <v>48</v>
      </c>
    </row>
    <row r="11" s="4" customFormat="1" spans="1:15">
      <c r="A11" s="6" t="s">
        <v>24</v>
      </c>
      <c r="B11" s="6" t="s">
        <v>24</v>
      </c>
      <c r="C11" s="6" t="s">
        <v>22</v>
      </c>
      <c r="D11" s="6" t="s">
        <v>159</v>
      </c>
      <c r="E11" s="6">
        <v>0</v>
      </c>
      <c r="F11" s="6">
        <v>0</v>
      </c>
      <c r="G11" s="6">
        <v>1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f t="shared" si="0"/>
        <v>1</v>
      </c>
      <c r="O11" s="7">
        <f>N11</f>
        <v>1</v>
      </c>
    </row>
    <row r="12" spans="1:15">
      <c r="O12">
        <f>O4+O7+O10+O11</f>
        <v>176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57"/>
  <sheetViews>
    <sheetView topLeftCell="B44" workbookViewId="0">
      <selection activeCell="P44" sqref="P44"/>
    </sheetView>
  </sheetViews>
  <sheetFormatPr defaultColWidth="9.14285714285714" defaultRowHeight="15"/>
  <cols>
    <col min="1" max="1" width="16.5714285714286" customWidth="1"/>
    <col min="2" max="4" width="16.4285714285714" customWidth="1"/>
    <col min="5" max="5" width="12.2857142857143" customWidth="1"/>
    <col min="6" max="6" width="17" customWidth="1"/>
    <col min="7" max="7" width="10.2857142857143" customWidth="1"/>
    <col min="8" max="8" width="7.71428571428571" customWidth="1"/>
    <col min="9" max="9" width="8.85714285714286" customWidth="1"/>
    <col min="16" max="16" width="11.4285714285714" customWidth="1"/>
  </cols>
  <sheetData>
    <row r="1" customFormat="1" spans="1:16">
      <c r="A1" t="s">
        <v>173</v>
      </c>
      <c r="C1" t="s">
        <v>174</v>
      </c>
      <c r="I1" t="s">
        <v>175</v>
      </c>
    </row>
    <row r="2" spans="1:16">
      <c r="A2" s="2"/>
      <c r="B2" s="2"/>
      <c r="C2" s="2"/>
      <c r="D2" s="2"/>
      <c r="E2" s="2" t="s">
        <v>88</v>
      </c>
      <c r="F2" s="2" t="s">
        <v>25</v>
      </c>
      <c r="G2" s="3">
        <v>28</v>
      </c>
      <c r="H2" s="3">
        <v>30</v>
      </c>
      <c r="I2" s="3">
        <v>32</v>
      </c>
      <c r="J2" s="3">
        <v>34</v>
      </c>
      <c r="K2" s="3">
        <v>36</v>
      </c>
      <c r="L2" s="3">
        <v>38</v>
      </c>
      <c r="M2" s="3">
        <v>40</v>
      </c>
      <c r="N2" s="3">
        <v>42</v>
      </c>
      <c r="O2" s="3">
        <v>44</v>
      </c>
      <c r="P2" s="3" t="s">
        <v>4</v>
      </c>
    </row>
    <row r="3" ht="25" customHeight="1" spans="1:16">
      <c r="A3" s="2"/>
      <c r="B3" s="2"/>
      <c r="C3" s="2"/>
      <c r="D3" s="2"/>
      <c r="E3" s="2" t="s">
        <v>31</v>
      </c>
      <c r="F3" s="2" t="s">
        <v>31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ht="25" customHeight="1" spans="1:16">
      <c r="A4" s="2"/>
      <c r="B4" s="2"/>
      <c r="C4" s="2"/>
      <c r="D4" s="2"/>
      <c r="E4" s="2" t="s">
        <v>90</v>
      </c>
      <c r="F4" s="2" t="s">
        <v>32</v>
      </c>
      <c r="G4" s="3"/>
      <c r="H4" s="3"/>
      <c r="I4" s="3"/>
      <c r="J4" s="3"/>
      <c r="K4" s="3"/>
      <c r="L4" s="3"/>
      <c r="M4" s="3"/>
      <c r="N4" s="3"/>
      <c r="O4" s="3"/>
      <c r="P4" s="3"/>
    </row>
    <row r="5" ht="25" customHeight="1" spans="1:16">
      <c r="A5" s="2"/>
      <c r="B5" s="2"/>
      <c r="C5" s="2"/>
      <c r="D5" s="2"/>
      <c r="E5" s="2" t="s">
        <v>90</v>
      </c>
      <c r="F5" s="2" t="s">
        <v>33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ht="25" customHeight="1" spans="1:16">
      <c r="A6" s="2"/>
      <c r="B6" s="2"/>
      <c r="C6" s="2"/>
      <c r="D6" s="2"/>
      <c r="E6" s="2" t="s">
        <v>91</v>
      </c>
      <c r="F6" s="2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ht="25" customHeight="1" spans="1:16">
      <c r="A7" s="2"/>
      <c r="B7" s="2"/>
      <c r="C7" s="2"/>
      <c r="D7" s="2"/>
      <c r="E7" s="2" t="s">
        <v>91</v>
      </c>
      <c r="F7" s="2" t="s">
        <v>35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ht="25" customHeight="1" spans="1:16">
      <c r="A8" s="2"/>
      <c r="B8" s="2"/>
      <c r="C8" s="2"/>
      <c r="D8" s="2"/>
      <c r="E8" s="2" t="s">
        <v>92</v>
      </c>
      <c r="F8" s="2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</row>
    <row r="9" ht="25" customHeight="1" spans="1:16">
      <c r="A9" s="2"/>
      <c r="B9" s="2"/>
      <c r="C9" s="2"/>
      <c r="D9" s="2"/>
      <c r="E9" s="2" t="s">
        <v>91</v>
      </c>
      <c r="F9" s="2" t="s">
        <v>37</v>
      </c>
      <c r="G9" s="3"/>
      <c r="H9" s="3"/>
      <c r="I9" s="3"/>
      <c r="J9" s="3"/>
      <c r="K9" s="3"/>
      <c r="L9" s="3"/>
      <c r="M9" s="3"/>
      <c r="N9" s="3"/>
      <c r="O9" s="3"/>
      <c r="P9" s="3"/>
    </row>
    <row r="10" ht="25" customHeight="1" spans="1:16">
      <c r="A10" s="2"/>
      <c r="B10" s="2"/>
      <c r="C10" s="2"/>
      <c r="D10" s="2"/>
      <c r="E10" s="2" t="s">
        <v>91</v>
      </c>
      <c r="F10" s="2" t="s">
        <v>38</v>
      </c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5" customHeight="1" spans="1:16">
      <c r="A11" s="2"/>
      <c r="B11" s="2"/>
      <c r="C11" s="2"/>
      <c r="D11" s="2"/>
      <c r="E11" s="2" t="s">
        <v>91</v>
      </c>
      <c r="F11" s="2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ht="25" customHeight="1" spans="1:16">
      <c r="A12" s="2"/>
      <c r="B12" s="2"/>
      <c r="C12" s="2"/>
      <c r="D12" s="2"/>
      <c r="E12" s="2" t="s">
        <v>91</v>
      </c>
      <c r="F12" s="2" t="s">
        <v>40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ht="25" customHeight="1" spans="1:16">
      <c r="A13" s="2"/>
      <c r="B13" s="2"/>
      <c r="C13" s="2"/>
      <c r="D13" s="2"/>
      <c r="E13" s="2" t="s">
        <v>92</v>
      </c>
      <c r="F13" s="2" t="s">
        <v>42</v>
      </c>
      <c r="G13" s="3"/>
      <c r="H13" s="3"/>
      <c r="I13" s="3"/>
      <c r="J13" s="3"/>
      <c r="K13" s="3"/>
      <c r="L13" s="3"/>
      <c r="M13" s="3"/>
      <c r="N13" s="3"/>
      <c r="O13" s="3"/>
      <c r="P13" s="3"/>
    </row>
    <row r="14" ht="25" customHeight="1" spans="1:16">
      <c r="A14" s="2"/>
      <c r="B14" s="2"/>
      <c r="C14" s="2"/>
      <c r="D14" s="2"/>
      <c r="E14" s="2" t="s">
        <v>92</v>
      </c>
      <c r="F14" s="2" t="s">
        <v>49</v>
      </c>
      <c r="G14" s="3"/>
      <c r="H14" s="3"/>
      <c r="I14" s="3"/>
      <c r="J14" s="3"/>
      <c r="K14" s="3"/>
      <c r="L14" s="3"/>
      <c r="M14" s="3"/>
      <c r="N14" s="3"/>
      <c r="O14" s="3"/>
      <c r="P14" s="3"/>
    </row>
    <row r="15" ht="25" customHeight="1" spans="1:16">
      <c r="A15" s="2"/>
      <c r="B15" s="2"/>
      <c r="C15" s="2"/>
      <c r="D15" s="2"/>
      <c r="E15" s="2" t="s">
        <v>92</v>
      </c>
      <c r="F15" s="2" t="s">
        <v>41</v>
      </c>
      <c r="G15" s="3"/>
      <c r="H15" s="3"/>
      <c r="I15" s="3"/>
      <c r="J15" s="3"/>
      <c r="K15" s="3"/>
      <c r="L15" s="3"/>
      <c r="M15" s="3"/>
      <c r="N15" s="3"/>
      <c r="O15" s="3"/>
      <c r="P15" s="3"/>
    </row>
    <row r="16" ht="25" customHeight="1" spans="1:16">
      <c r="A16" s="2"/>
      <c r="B16" s="2"/>
      <c r="C16" s="2"/>
      <c r="D16" s="2"/>
      <c r="E16" s="2" t="s">
        <v>92</v>
      </c>
      <c r="F16" s="2" t="s">
        <v>44</v>
      </c>
      <c r="G16" s="3"/>
      <c r="H16" s="3"/>
      <c r="I16" s="3"/>
      <c r="J16" s="3"/>
      <c r="K16" s="3"/>
      <c r="L16" s="3"/>
      <c r="M16" s="3"/>
      <c r="N16" s="3"/>
      <c r="O16" s="3"/>
      <c r="P16" s="3"/>
    </row>
    <row r="17" ht="25" customHeight="1" spans="1:16">
      <c r="A17" s="2"/>
      <c r="B17" s="2"/>
      <c r="C17" s="2"/>
      <c r="D17" s="2"/>
      <c r="E17" s="2" t="s">
        <v>92</v>
      </c>
      <c r="F17" s="2" t="s">
        <v>43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ht="25" customHeight="1" spans="1:16">
      <c r="A18" s="2"/>
      <c r="B18" s="2"/>
      <c r="C18" s="2"/>
      <c r="D18" s="2"/>
      <c r="E18" s="2" t="s">
        <v>92</v>
      </c>
      <c r="F18" s="2" t="s">
        <v>45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ht="25" customHeight="1" spans="1:16">
      <c r="A19" s="2"/>
      <c r="B19" s="2"/>
      <c r="C19" s="2"/>
      <c r="D19" s="2"/>
      <c r="E19" s="2" t="s">
        <v>92</v>
      </c>
      <c r="F19" s="2" t="s">
        <v>46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ht="25" customHeight="1" spans="1:16">
      <c r="A20" s="2"/>
      <c r="B20" s="2"/>
      <c r="C20" s="2"/>
      <c r="D20" s="2"/>
      <c r="E20" s="2" t="s">
        <v>92</v>
      </c>
      <c r="F20" s="2" t="s">
        <v>54</v>
      </c>
      <c r="G20" s="3"/>
      <c r="H20" s="3"/>
      <c r="I20" s="3"/>
      <c r="J20" s="3"/>
      <c r="K20" s="3"/>
      <c r="L20" s="3"/>
      <c r="M20" s="3"/>
      <c r="N20" s="3"/>
      <c r="O20" s="3"/>
      <c r="P20" s="3"/>
    </row>
    <row r="21" ht="25" customHeight="1" spans="1:16">
      <c r="A21" s="2"/>
      <c r="B21" s="2"/>
      <c r="C21" s="2"/>
      <c r="D21" s="2"/>
      <c r="E21" s="2" t="s">
        <v>92</v>
      </c>
      <c r="F21" s="2" t="s">
        <v>50</v>
      </c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25" customHeight="1" spans="1:16">
      <c r="A22" s="2"/>
      <c r="B22" s="2"/>
      <c r="C22" s="2"/>
      <c r="D22" s="2"/>
      <c r="E22" s="2" t="s">
        <v>92</v>
      </c>
      <c r="F22" s="2" t="s">
        <v>51</v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25" customHeight="1" spans="1:16">
      <c r="A23" s="2"/>
      <c r="B23" s="2"/>
      <c r="C23" s="2"/>
      <c r="D23" s="2"/>
      <c r="E23" s="2" t="s">
        <v>92</v>
      </c>
      <c r="F23" s="2" t="s">
        <v>53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ht="25" customHeight="1" spans="1:16">
      <c r="A24" s="2"/>
      <c r="B24" s="2"/>
      <c r="C24" s="2"/>
      <c r="D24" s="2"/>
      <c r="E24" s="2" t="s">
        <v>92</v>
      </c>
      <c r="F24" s="2" t="s">
        <v>47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ht="25" customHeight="1" spans="1:16">
      <c r="A25" s="2"/>
      <c r="B25" s="2"/>
      <c r="C25" s="2"/>
      <c r="D25" s="2"/>
      <c r="E25" s="2" t="s">
        <v>92</v>
      </c>
      <c r="F25" s="2" t="s">
        <v>52</v>
      </c>
      <c r="G25" s="3"/>
      <c r="H25" s="3"/>
      <c r="I25" s="3"/>
      <c r="J25" s="3"/>
      <c r="K25" s="3"/>
      <c r="L25" s="3"/>
      <c r="M25" s="3"/>
      <c r="N25" s="3"/>
      <c r="O25" s="3"/>
      <c r="P25" s="3"/>
    </row>
    <row r="26" ht="25" customHeight="1" spans="1:16">
      <c r="A26" s="2"/>
      <c r="B26" s="2"/>
      <c r="C26" s="2"/>
      <c r="D26" s="2"/>
      <c r="E26" s="2" t="s">
        <v>92</v>
      </c>
      <c r="F26" s="2" t="s">
        <v>48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ht="25" customHeight="1" spans="1:16">
      <c r="A27" s="2"/>
      <c r="B27" s="2"/>
      <c r="C27" s="2"/>
      <c r="D27" s="2"/>
      <c r="E27" s="2" t="s">
        <v>93</v>
      </c>
      <c r="F27" s="2" t="s">
        <v>56</v>
      </c>
      <c r="G27" s="3"/>
      <c r="H27" s="3"/>
      <c r="I27" s="3"/>
      <c r="J27" s="3"/>
      <c r="K27" s="3"/>
      <c r="L27" s="3"/>
      <c r="M27" s="3"/>
      <c r="N27" s="3"/>
      <c r="O27" s="3"/>
      <c r="P27" s="3"/>
    </row>
    <row r="28" ht="25" customHeight="1" spans="1:16">
      <c r="A28" s="2"/>
      <c r="B28" s="2"/>
      <c r="C28" s="2"/>
      <c r="D28" s="2"/>
      <c r="E28" s="2" t="s">
        <v>93</v>
      </c>
      <c r="F28" s="2" t="s">
        <v>55</v>
      </c>
      <c r="G28" s="3"/>
      <c r="H28" s="3"/>
      <c r="I28" s="3"/>
      <c r="J28" s="3"/>
      <c r="K28" s="3"/>
      <c r="L28" s="3"/>
      <c r="M28" s="3"/>
      <c r="N28" s="3"/>
      <c r="O28" s="3"/>
      <c r="P28" s="3"/>
    </row>
    <row r="29" ht="25" customHeight="1" spans="1:16">
      <c r="A29" s="2"/>
      <c r="B29" s="2"/>
      <c r="C29" s="2"/>
      <c r="D29" s="2"/>
      <c r="E29" s="2" t="s">
        <v>93</v>
      </c>
      <c r="F29" s="2" t="s">
        <v>57</v>
      </c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5" customHeight="1" spans="1:16">
      <c r="A30" s="2"/>
      <c r="B30" s="2"/>
      <c r="C30" s="2"/>
      <c r="D30" s="2"/>
      <c r="E30" s="2" t="s">
        <v>93</v>
      </c>
      <c r="F30" s="2" t="s">
        <v>60</v>
      </c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5" customHeight="1" spans="1:16">
      <c r="A31" s="2"/>
      <c r="B31" s="2"/>
      <c r="C31" s="2"/>
      <c r="D31" s="2"/>
      <c r="E31" s="2" t="s">
        <v>93</v>
      </c>
      <c r="F31" s="2" t="s">
        <v>58</v>
      </c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5" customHeight="1" spans="1:16">
      <c r="A32" s="2"/>
      <c r="B32" s="2"/>
      <c r="C32" s="2"/>
      <c r="D32" s="2"/>
      <c r="E32" s="2" t="s">
        <v>93</v>
      </c>
      <c r="F32" s="2" t="s">
        <v>59</v>
      </c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5" customHeight="1" spans="1:16">
      <c r="A33" s="2"/>
      <c r="B33" s="2"/>
      <c r="C33" s="2"/>
      <c r="D33" s="2"/>
      <c r="E33" s="2" t="s">
        <v>93</v>
      </c>
      <c r="F33" s="2" t="s">
        <v>61</v>
      </c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5" customHeight="1" spans="1:16">
      <c r="A34" s="2"/>
      <c r="B34" s="2"/>
      <c r="C34" s="2"/>
      <c r="D34" s="2"/>
      <c r="E34" s="2" t="s">
        <v>93</v>
      </c>
      <c r="F34" s="2" t="s">
        <v>62</v>
      </c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5" customHeight="1" spans="1:16">
      <c r="A35" s="2"/>
      <c r="B35" s="2"/>
      <c r="C35" s="2"/>
      <c r="D35" s="2"/>
      <c r="E35" s="2" t="s">
        <v>63</v>
      </c>
      <c r="F35" s="2" t="s">
        <v>64</v>
      </c>
      <c r="G35" s="3"/>
      <c r="H35" s="3"/>
      <c r="I35" s="3"/>
      <c r="J35" s="3"/>
      <c r="K35" s="3"/>
      <c r="L35" s="3"/>
      <c r="M35" s="3"/>
      <c r="N35" s="3"/>
      <c r="O35" s="3"/>
      <c r="P35" s="3"/>
    </row>
    <row r="36" ht="25" customHeight="1" spans="1:16">
      <c r="A36" s="2"/>
      <c r="B36" s="2"/>
      <c r="C36" s="2"/>
      <c r="D36" s="2"/>
      <c r="E36" s="2" t="s">
        <v>63</v>
      </c>
      <c r="F36" s="2" t="s">
        <v>65</v>
      </c>
      <c r="G36" s="3"/>
      <c r="H36" s="3"/>
      <c r="I36" s="3"/>
      <c r="J36" s="3"/>
      <c r="K36" s="3"/>
      <c r="L36" s="3"/>
      <c r="M36" s="3"/>
      <c r="N36" s="3"/>
      <c r="O36" s="3"/>
      <c r="P36" s="3"/>
    </row>
    <row r="37" ht="25" customHeight="1" spans="1:16">
      <c r="A37" s="2"/>
      <c r="B37" s="2"/>
      <c r="C37" s="2"/>
      <c r="D37" s="2"/>
      <c r="E37" s="2" t="s">
        <v>63</v>
      </c>
      <c r="F37" s="2" t="s">
        <v>63</v>
      </c>
      <c r="G37" s="3"/>
      <c r="H37" s="3"/>
      <c r="I37" s="3"/>
      <c r="J37" s="3"/>
      <c r="K37" s="3"/>
      <c r="L37" s="3"/>
      <c r="M37" s="3"/>
      <c r="N37" s="3"/>
      <c r="O37" s="3"/>
      <c r="P37" s="3"/>
    </row>
    <row r="38" ht="25" customHeight="1" spans="1:16">
      <c r="A38" s="2"/>
      <c r="B38" s="2"/>
      <c r="C38" s="2"/>
      <c r="D38" s="2"/>
      <c r="E38" s="2" t="s">
        <v>67</v>
      </c>
      <c r="F38" s="2" t="s">
        <v>72</v>
      </c>
      <c r="G38" s="3"/>
      <c r="H38" s="3"/>
      <c r="I38" s="3"/>
      <c r="J38" s="3"/>
      <c r="K38" s="3"/>
      <c r="L38" s="3"/>
      <c r="M38" s="3"/>
      <c r="N38" s="3"/>
      <c r="O38" s="3"/>
      <c r="P38" s="3"/>
    </row>
    <row r="39" ht="25" customHeight="1" spans="1:16">
      <c r="A39" s="2"/>
      <c r="B39" s="2"/>
      <c r="C39" s="2"/>
      <c r="D39" s="2"/>
      <c r="E39" s="2" t="s">
        <v>67</v>
      </c>
      <c r="F39" s="2" t="s">
        <v>68</v>
      </c>
      <c r="G39" s="3"/>
      <c r="H39" s="3"/>
      <c r="I39" s="3"/>
      <c r="J39" s="3"/>
      <c r="K39" s="3"/>
      <c r="L39" s="3"/>
      <c r="M39" s="3"/>
      <c r="N39" s="3"/>
      <c r="O39" s="3"/>
      <c r="P39" s="3"/>
    </row>
    <row r="40" ht="25" customHeight="1" spans="1:16">
      <c r="A40" s="2"/>
      <c r="B40" s="2"/>
      <c r="C40" s="2"/>
      <c r="D40" s="2"/>
      <c r="E40" s="2" t="s">
        <v>67</v>
      </c>
      <c r="F40" s="2" t="s">
        <v>71</v>
      </c>
      <c r="G40" s="3"/>
      <c r="H40" s="3"/>
      <c r="I40" s="3"/>
      <c r="J40" s="3"/>
      <c r="K40" s="3"/>
      <c r="L40" s="3"/>
      <c r="M40" s="3"/>
      <c r="N40" s="3"/>
      <c r="O40" s="3"/>
      <c r="P40" s="3"/>
    </row>
    <row r="41" ht="25" customHeight="1" spans="1:16">
      <c r="A41" s="2"/>
      <c r="B41" s="2"/>
      <c r="C41" s="2"/>
      <c r="D41" s="2"/>
      <c r="E41" s="2" t="s">
        <v>67</v>
      </c>
      <c r="F41" s="2" t="s">
        <v>67</v>
      </c>
      <c r="G41" s="3"/>
      <c r="H41" s="3"/>
      <c r="I41" s="3"/>
      <c r="J41" s="3"/>
      <c r="K41" s="3"/>
      <c r="L41" s="3"/>
      <c r="M41" s="3"/>
      <c r="N41" s="3"/>
      <c r="O41" s="3"/>
      <c r="P41" s="3"/>
    </row>
    <row r="42" ht="25" customHeight="1" spans="1:16">
      <c r="A42" s="2"/>
      <c r="B42" s="2"/>
      <c r="C42" s="2"/>
      <c r="D42" s="2"/>
      <c r="E42" s="2" t="s">
        <v>94</v>
      </c>
      <c r="F42" s="2" t="s">
        <v>95</v>
      </c>
      <c r="G42" s="3"/>
      <c r="H42" s="3"/>
      <c r="I42" s="3"/>
      <c r="J42" s="3"/>
      <c r="K42" s="3"/>
      <c r="L42" s="3"/>
      <c r="M42" s="3"/>
      <c r="N42" s="3"/>
      <c r="O42" s="3"/>
      <c r="P42" s="3"/>
    </row>
    <row r="43" ht="25" customHeight="1" spans="1:16">
      <c r="A43" s="2"/>
      <c r="B43" s="2"/>
      <c r="C43" s="2"/>
      <c r="D43" s="2"/>
      <c r="E43" s="2" t="s">
        <v>67</v>
      </c>
      <c r="F43" s="2" t="s">
        <v>96</v>
      </c>
      <c r="G43" s="3"/>
      <c r="H43" s="3"/>
      <c r="I43" s="3"/>
      <c r="J43" s="3"/>
      <c r="K43" s="3"/>
      <c r="L43" s="3"/>
      <c r="M43" s="3"/>
      <c r="N43" s="3"/>
      <c r="O43" s="3"/>
      <c r="P43" s="3"/>
    </row>
    <row r="44" ht="25" customHeight="1" spans="1:16">
      <c r="A44" s="2"/>
      <c r="B44" s="2"/>
      <c r="C44" s="2"/>
      <c r="D44" s="2"/>
      <c r="E44" s="2" t="s">
        <v>67</v>
      </c>
      <c r="F44" s="2" t="s">
        <v>70</v>
      </c>
      <c r="G44" s="3"/>
      <c r="H44" s="3"/>
      <c r="I44" s="3"/>
      <c r="J44" s="3"/>
      <c r="K44" s="3"/>
      <c r="L44" s="3"/>
      <c r="M44" s="3"/>
      <c r="N44" s="3"/>
      <c r="O44" s="3"/>
      <c r="P44" s="3"/>
    </row>
    <row r="45" ht="25" customHeight="1" spans="1:16">
      <c r="A45" s="2"/>
      <c r="B45" s="2"/>
      <c r="C45" s="2"/>
      <c r="D45" s="2"/>
      <c r="E45" s="2" t="s">
        <v>94</v>
      </c>
      <c r="F45" s="2" t="s">
        <v>73</v>
      </c>
      <c r="G45" s="3"/>
      <c r="H45" s="3"/>
      <c r="I45" s="3"/>
      <c r="J45" s="3"/>
      <c r="K45" s="3"/>
      <c r="L45" s="3"/>
      <c r="M45" s="3"/>
      <c r="N45" s="3"/>
      <c r="O45" s="3"/>
      <c r="P45" s="3"/>
    </row>
    <row r="46" ht="25" customHeight="1" spans="1:16">
      <c r="A46" s="2"/>
      <c r="B46" s="2"/>
      <c r="C46" s="2"/>
      <c r="D46" s="2"/>
      <c r="E46" s="2" t="s">
        <v>94</v>
      </c>
      <c r="F46" s="2" t="s">
        <v>74</v>
      </c>
      <c r="G46" s="3"/>
      <c r="H46" s="3"/>
      <c r="I46" s="3"/>
      <c r="J46" s="3"/>
      <c r="K46" s="3"/>
      <c r="L46" s="3"/>
      <c r="M46" s="3"/>
      <c r="N46" s="3"/>
      <c r="O46" s="3"/>
      <c r="P46" s="3"/>
    </row>
    <row r="47" ht="25" customHeight="1" spans="1:16">
      <c r="A47" s="2"/>
      <c r="B47" s="2"/>
      <c r="C47" s="2"/>
      <c r="D47" s="2"/>
      <c r="E47" s="2" t="s">
        <v>94</v>
      </c>
      <c r="F47" s="2" t="s">
        <v>75</v>
      </c>
      <c r="G47" s="3"/>
      <c r="H47" s="3"/>
      <c r="I47" s="3"/>
      <c r="J47" s="3"/>
      <c r="K47" s="3"/>
      <c r="L47" s="3"/>
      <c r="M47" s="3"/>
      <c r="N47" s="3"/>
      <c r="O47" s="3"/>
      <c r="P47" s="3"/>
    </row>
    <row r="48" ht="25" customHeight="1" spans="1:16">
      <c r="A48" s="2"/>
      <c r="B48" s="2"/>
      <c r="C48" s="2"/>
      <c r="D48" s="2"/>
      <c r="E48" s="2" t="s">
        <v>94</v>
      </c>
      <c r="F48" s="2" t="s">
        <v>97</v>
      </c>
      <c r="G48" s="3"/>
      <c r="H48" s="3"/>
      <c r="I48" s="3"/>
      <c r="J48" s="3"/>
      <c r="K48" s="3"/>
      <c r="L48" s="3"/>
      <c r="M48" s="3"/>
      <c r="N48" s="3"/>
      <c r="O48" s="3"/>
      <c r="P48" s="3"/>
    </row>
    <row r="49" ht="25" customHeight="1" spans="1:16">
      <c r="A49" s="2"/>
      <c r="B49" s="2"/>
      <c r="C49" s="2"/>
      <c r="D49" s="2"/>
      <c r="E49" s="2" t="s">
        <v>94</v>
      </c>
      <c r="F49" s="2" t="s">
        <v>77</v>
      </c>
      <c r="G49" s="3"/>
      <c r="H49" s="3"/>
      <c r="I49" s="3"/>
      <c r="J49" s="3"/>
      <c r="K49" s="3"/>
      <c r="L49" s="3"/>
      <c r="M49" s="3"/>
      <c r="N49" s="3"/>
      <c r="O49" s="3"/>
      <c r="P49" s="3"/>
    </row>
    <row r="50" ht="25" customHeight="1" spans="1:16">
      <c r="A50" s="2"/>
      <c r="B50" s="2"/>
      <c r="C50" s="2"/>
      <c r="D50" s="2"/>
      <c r="E50" s="2" t="s">
        <v>94</v>
      </c>
      <c r="F50" s="2" t="s">
        <v>78</v>
      </c>
      <c r="G50" s="3"/>
      <c r="H50" s="3"/>
      <c r="I50" s="3"/>
      <c r="J50" s="3"/>
      <c r="K50" s="3"/>
      <c r="L50" s="3"/>
      <c r="M50" s="3"/>
      <c r="N50" s="3"/>
      <c r="O50" s="3"/>
      <c r="P50" s="3"/>
    </row>
    <row r="51" ht="25" customHeight="1" spans="1:16">
      <c r="A51" s="2"/>
      <c r="B51" s="2"/>
      <c r="C51" s="2"/>
      <c r="D51" s="2"/>
      <c r="E51" s="2" t="s">
        <v>94</v>
      </c>
      <c r="F51" s="2" t="s">
        <v>98</v>
      </c>
      <c r="G51" s="3"/>
      <c r="H51" s="3"/>
      <c r="I51" s="3"/>
      <c r="J51" s="3"/>
      <c r="K51" s="3"/>
      <c r="L51" s="3"/>
      <c r="M51" s="3"/>
      <c r="N51" s="3"/>
      <c r="O51" s="3"/>
      <c r="P51" s="3"/>
    </row>
    <row r="52" ht="25" customHeight="1" spans="1:16">
      <c r="A52" s="2"/>
      <c r="B52" s="2"/>
      <c r="C52" s="2"/>
      <c r="D52" s="2"/>
      <c r="E52" s="2" t="s">
        <v>94</v>
      </c>
      <c r="F52" s="2" t="s">
        <v>80</v>
      </c>
      <c r="G52" s="3"/>
      <c r="H52" s="3"/>
      <c r="I52" s="3"/>
      <c r="J52" s="3"/>
      <c r="K52" s="3"/>
      <c r="L52" s="3"/>
      <c r="M52" s="3"/>
      <c r="N52" s="3"/>
      <c r="O52" s="3"/>
      <c r="P52" s="3"/>
    </row>
    <row r="53" ht="25" customHeight="1" spans="1:16">
      <c r="A53" s="2"/>
      <c r="B53" s="2"/>
      <c r="C53" s="2"/>
      <c r="D53" s="2"/>
      <c r="E53" s="2" t="s">
        <v>94</v>
      </c>
      <c r="F53" s="2" t="s">
        <v>82</v>
      </c>
      <c r="G53" s="3"/>
      <c r="H53" s="3"/>
      <c r="I53" s="3"/>
      <c r="J53" s="3"/>
      <c r="K53" s="3"/>
      <c r="L53" s="3"/>
      <c r="M53" s="3"/>
      <c r="N53" s="3"/>
      <c r="O53" s="3"/>
      <c r="P53" s="3"/>
    </row>
    <row r="54" ht="25" customHeight="1" spans="1:16">
      <c r="A54" s="2"/>
      <c r="B54" s="2"/>
      <c r="C54" s="2"/>
      <c r="D54" s="2"/>
      <c r="E54" s="2" t="s">
        <v>94</v>
      </c>
      <c r="F54" s="2" t="s">
        <v>81</v>
      </c>
      <c r="G54" s="3"/>
      <c r="H54" s="3"/>
      <c r="I54" s="3"/>
      <c r="J54" s="3"/>
      <c r="K54" s="3"/>
      <c r="L54" s="3"/>
      <c r="M54" s="3"/>
      <c r="N54" s="3"/>
      <c r="O54" s="3"/>
      <c r="P54" s="3"/>
    </row>
    <row r="55" ht="25" customHeight="1" spans="1:16">
      <c r="A55" s="2"/>
      <c r="B55" s="2"/>
      <c r="C55" s="2"/>
      <c r="D55" s="2"/>
      <c r="E55" s="2" t="s">
        <v>84</v>
      </c>
      <c r="F55" s="2" t="s">
        <v>84</v>
      </c>
      <c r="G55" s="3"/>
      <c r="H55" s="3"/>
      <c r="I55" s="3"/>
      <c r="J55" s="3"/>
      <c r="K55" s="3"/>
      <c r="L55" s="3"/>
      <c r="M55" s="3"/>
      <c r="N55" s="3"/>
      <c r="O55" s="3"/>
      <c r="P55" s="3"/>
    </row>
    <row r="56" ht="25" customHeight="1" spans="1:16">
      <c r="A56" s="2"/>
      <c r="B56" s="2"/>
      <c r="C56" s="2"/>
      <c r="D56" s="2"/>
      <c r="E56" s="2" t="s">
        <v>99</v>
      </c>
      <c r="F56" s="2" t="s">
        <v>86</v>
      </c>
      <c r="G56" s="3"/>
      <c r="H56" s="3"/>
      <c r="I56" s="3"/>
      <c r="J56" s="3"/>
      <c r="K56" s="3"/>
      <c r="L56" s="3"/>
      <c r="M56" s="3"/>
      <c r="N56" s="3"/>
      <c r="O56" s="3"/>
      <c r="P56" s="3"/>
    </row>
    <row r="57" ht="25" customHeight="1" spans="1:16">
      <c r="A57" s="2"/>
      <c r="B57" s="2"/>
      <c r="C57" s="2"/>
      <c r="D57" s="2"/>
      <c r="E57" s="2" t="s">
        <v>99</v>
      </c>
      <c r="F57" s="2" t="s">
        <v>87</v>
      </c>
      <c r="G57" s="3"/>
      <c r="H57" s="3"/>
      <c r="I57" s="3"/>
      <c r="J57" s="3"/>
      <c r="K57" s="3"/>
      <c r="L57" s="3"/>
      <c r="M57" s="3"/>
      <c r="N57" s="3"/>
      <c r="O57" s="3"/>
      <c r="P57" s="3"/>
    </row>
  </sheetData>
  <pageMargins left="0.75" right="0.75" top="1" bottom="1" header="0.5" footer="0.5"/>
  <pageSetup paperSize="1" scale="64" fitToHeight="0" orientation="landscape" blackAndWhite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048576"/>
  <sheetViews>
    <sheetView topLeftCell="A49" workbookViewId="0">
      <selection activeCell="A1" sqref="A1:L57"/>
    </sheetView>
  </sheetViews>
  <sheetFormatPr defaultColWidth="9.14285714285714" defaultRowHeight="15"/>
  <cols>
    <col min="1" max="1" width="12.2857142857143" customWidth="1"/>
    <col min="2" max="2" width="17" customWidth="1"/>
    <col min="3" max="3" width="10.2857142857143" customWidth="1"/>
    <col min="4" max="4" width="7.71428571428571" customWidth="1"/>
    <col min="5" max="5" width="8.85714285714286" customWidth="1"/>
    <col min="12" max="12" width="11.4285714285714" style="1" customWidth="1"/>
  </cols>
  <sheetData>
    <row r="1" ht="25" customHeight="1" spans="1:12">
      <c r="A1" t="s">
        <v>173</v>
      </c>
      <c r="C1" t="s">
        <v>174</v>
      </c>
      <c r="I1" t="s">
        <v>175</v>
      </c>
      <c r="L1"/>
    </row>
    <row r="2" ht="25" customHeight="1" spans="1:12">
      <c r="A2" s="2" t="s">
        <v>88</v>
      </c>
      <c r="B2" s="2" t="s">
        <v>25</v>
      </c>
      <c r="C2" s="3">
        <v>28</v>
      </c>
      <c r="D2" s="3">
        <v>30</v>
      </c>
      <c r="E2" s="3">
        <v>32</v>
      </c>
      <c r="F2" s="3">
        <v>34</v>
      </c>
      <c r="G2" s="3">
        <v>36</v>
      </c>
      <c r="H2" s="3">
        <v>38</v>
      </c>
      <c r="I2" s="3">
        <v>40</v>
      </c>
      <c r="J2" s="3">
        <v>42</v>
      </c>
      <c r="K2" s="3">
        <v>44</v>
      </c>
      <c r="L2" s="3" t="s">
        <v>4</v>
      </c>
    </row>
    <row r="3" ht="25" customHeight="1" spans="1:12">
      <c r="A3" s="2" t="s">
        <v>31</v>
      </c>
      <c r="B3" s="2" t="s">
        <v>31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ht="25" customHeight="1" spans="1:12">
      <c r="A4" s="2" t="s">
        <v>90</v>
      </c>
      <c r="B4" s="2" t="s">
        <v>32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ht="25" customHeight="1" spans="1:12">
      <c r="A5" s="2" t="s">
        <v>90</v>
      </c>
      <c r="B5" s="2" t="s">
        <v>33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ht="25" customHeight="1" spans="1:12">
      <c r="A6" s="2" t="s">
        <v>91</v>
      </c>
      <c r="B6" s="2" t="s">
        <v>34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ht="25" customHeight="1" spans="1:12">
      <c r="A7" s="2" t="s">
        <v>91</v>
      </c>
      <c r="B7" s="2" t="s">
        <v>35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ht="25" customHeight="1" spans="1:12">
      <c r="A8" s="2" t="s">
        <v>92</v>
      </c>
      <c r="B8" s="2" t="s">
        <v>36</v>
      </c>
      <c r="C8" s="3"/>
      <c r="D8" s="3"/>
      <c r="E8" s="3"/>
      <c r="F8" s="3"/>
      <c r="G8" s="3"/>
      <c r="H8" s="3"/>
      <c r="I8" s="3"/>
      <c r="J8" s="3"/>
      <c r="K8" s="3"/>
      <c r="L8" s="3"/>
    </row>
    <row r="9" ht="25" customHeight="1" spans="1:12">
      <c r="A9" s="2" t="s">
        <v>91</v>
      </c>
      <c r="B9" s="2" t="s">
        <v>37</v>
      </c>
      <c r="C9" s="3"/>
      <c r="D9" s="3"/>
      <c r="E9" s="3"/>
      <c r="F9" s="3"/>
      <c r="G9" s="3"/>
      <c r="H9" s="3"/>
      <c r="I9" s="3"/>
      <c r="J9" s="3"/>
      <c r="K9" s="3"/>
      <c r="L9" s="3"/>
    </row>
    <row r="10" ht="25" customHeight="1" spans="1:12">
      <c r="A10" s="2" t="s">
        <v>91</v>
      </c>
      <c r="B10" s="2" t="s">
        <v>38</v>
      </c>
      <c r="C10" s="3"/>
      <c r="D10" s="3"/>
      <c r="E10" s="3"/>
      <c r="F10" s="3"/>
      <c r="G10" s="3"/>
      <c r="H10" s="3"/>
      <c r="I10" s="3"/>
      <c r="J10" s="3"/>
      <c r="K10" s="3"/>
      <c r="L10" s="3"/>
    </row>
    <row r="11" ht="25" customHeight="1" spans="1:12">
      <c r="A11" s="2" t="s">
        <v>91</v>
      </c>
      <c r="B11" s="2" t="s">
        <v>39</v>
      </c>
      <c r="C11" s="3"/>
      <c r="D11" s="3"/>
      <c r="E11" s="3"/>
      <c r="F11" s="3"/>
      <c r="G11" s="3"/>
      <c r="H11" s="3"/>
      <c r="I11" s="3"/>
      <c r="J11" s="3"/>
      <c r="K11" s="3"/>
      <c r="L11" s="3"/>
    </row>
    <row r="12" ht="25" customHeight="1" spans="1:12">
      <c r="A12" s="2" t="s">
        <v>91</v>
      </c>
      <c r="B12" s="2" t="s">
        <v>40</v>
      </c>
      <c r="C12" s="3"/>
      <c r="D12" s="3"/>
      <c r="E12" s="3"/>
      <c r="F12" s="3"/>
      <c r="G12" s="3"/>
      <c r="H12" s="3"/>
      <c r="I12" s="3"/>
      <c r="J12" s="3"/>
      <c r="K12" s="3"/>
      <c r="L12" s="3"/>
    </row>
    <row r="13" ht="25" customHeight="1" spans="1:12">
      <c r="A13" s="2" t="s">
        <v>92</v>
      </c>
      <c r="B13" s="2" t="s">
        <v>42</v>
      </c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25" customHeight="1" spans="1:12">
      <c r="A14" s="2" t="s">
        <v>92</v>
      </c>
      <c r="B14" s="2" t="s">
        <v>49</v>
      </c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25" customHeight="1" spans="1:12">
      <c r="A15" s="2" t="s">
        <v>92</v>
      </c>
      <c r="B15" s="2" t="s">
        <v>41</v>
      </c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25" customHeight="1" spans="1:12">
      <c r="A16" s="2" t="s">
        <v>92</v>
      </c>
      <c r="B16" s="2" t="s">
        <v>44</v>
      </c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25" customHeight="1" spans="1:12">
      <c r="A17" s="2" t="s">
        <v>92</v>
      </c>
      <c r="B17" s="2" t="s">
        <v>43</v>
      </c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25" customHeight="1" spans="1:12">
      <c r="A18" s="2" t="s">
        <v>92</v>
      </c>
      <c r="B18" s="2" t="s">
        <v>45</v>
      </c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25" customHeight="1" spans="1:12">
      <c r="A19" s="2" t="s">
        <v>92</v>
      </c>
      <c r="B19" s="2" t="s">
        <v>46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25" customHeight="1" spans="1:12">
      <c r="A20" s="2" t="s">
        <v>92</v>
      </c>
      <c r="B20" s="2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3"/>
    </row>
    <row r="21" ht="25" customHeight="1" spans="1:12">
      <c r="A21" s="2" t="s">
        <v>92</v>
      </c>
      <c r="B21" s="2" t="s">
        <v>50</v>
      </c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25" customHeight="1" spans="1:12">
      <c r="A22" s="2" t="s">
        <v>92</v>
      </c>
      <c r="B22" s="2" t="s">
        <v>51</v>
      </c>
      <c r="C22" s="3"/>
      <c r="D22" s="3"/>
      <c r="E22" s="3"/>
      <c r="F22" s="3"/>
      <c r="G22" s="3"/>
      <c r="H22" s="3"/>
      <c r="I22" s="3"/>
      <c r="J22" s="3"/>
      <c r="K22" s="3"/>
      <c r="L22" s="3"/>
    </row>
    <row r="23" ht="25" customHeight="1" spans="1:12">
      <c r="A23" s="2" t="s">
        <v>92</v>
      </c>
      <c r="B23" s="2" t="s">
        <v>53</v>
      </c>
      <c r="C23" s="3"/>
      <c r="D23" s="3"/>
      <c r="E23" s="3"/>
      <c r="F23" s="3"/>
      <c r="G23" s="3"/>
      <c r="H23" s="3"/>
      <c r="I23" s="3"/>
      <c r="J23" s="3"/>
      <c r="K23" s="3"/>
      <c r="L23" s="3"/>
    </row>
    <row r="24" ht="25" customHeight="1" spans="1:12">
      <c r="A24" s="2" t="s">
        <v>92</v>
      </c>
      <c r="B24" s="2" t="s">
        <v>47</v>
      </c>
      <c r="C24" s="3"/>
      <c r="D24" s="3"/>
      <c r="E24" s="3"/>
      <c r="F24" s="3"/>
      <c r="G24" s="3"/>
      <c r="H24" s="3"/>
      <c r="I24" s="3"/>
      <c r="J24" s="3"/>
      <c r="K24" s="3"/>
      <c r="L24" s="3"/>
    </row>
    <row r="25" ht="25" customHeight="1" spans="1:12">
      <c r="A25" s="2" t="s">
        <v>92</v>
      </c>
      <c r="B25" s="2" t="s">
        <v>52</v>
      </c>
      <c r="C25" s="3"/>
      <c r="D25" s="3"/>
      <c r="E25" s="3"/>
      <c r="F25" s="3"/>
      <c r="G25" s="3"/>
      <c r="H25" s="3"/>
      <c r="I25" s="3"/>
      <c r="J25" s="3"/>
      <c r="K25" s="3"/>
      <c r="L25" s="3"/>
    </row>
    <row r="26" ht="25" customHeight="1" spans="1:12">
      <c r="A26" s="2" t="s">
        <v>92</v>
      </c>
      <c r="B26" s="2" t="s">
        <v>48</v>
      </c>
      <c r="C26" s="3"/>
      <c r="D26" s="3"/>
      <c r="E26" s="3"/>
      <c r="F26" s="3"/>
      <c r="G26" s="3"/>
      <c r="H26" s="3"/>
      <c r="I26" s="3"/>
      <c r="J26" s="3"/>
      <c r="K26" s="3"/>
      <c r="L26" s="3"/>
    </row>
    <row r="27" ht="25" customHeight="1" spans="1:12">
      <c r="A27" s="2" t="s">
        <v>93</v>
      </c>
      <c r="B27" s="2" t="s">
        <v>56</v>
      </c>
      <c r="C27" s="3"/>
      <c r="D27" s="3"/>
      <c r="E27" s="3"/>
      <c r="F27" s="3"/>
      <c r="G27" s="3"/>
      <c r="H27" s="3"/>
      <c r="I27" s="3"/>
      <c r="J27" s="3"/>
      <c r="K27" s="3"/>
      <c r="L27" s="3"/>
    </row>
    <row r="28" ht="25" customHeight="1" spans="1:12">
      <c r="A28" s="2" t="s">
        <v>93</v>
      </c>
      <c r="B28" s="2" t="s">
        <v>55</v>
      </c>
      <c r="C28" s="3"/>
      <c r="D28" s="3"/>
      <c r="E28" s="3"/>
      <c r="F28" s="3"/>
      <c r="G28" s="3"/>
      <c r="H28" s="3"/>
      <c r="I28" s="3"/>
      <c r="J28" s="3"/>
      <c r="K28" s="3"/>
      <c r="L28" s="3"/>
    </row>
    <row r="29" ht="25" customHeight="1" spans="1:12">
      <c r="A29" s="2" t="s">
        <v>93</v>
      </c>
      <c r="B29" s="2" t="s">
        <v>57</v>
      </c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25" customHeight="1" spans="1:12">
      <c r="A30" s="2" t="s">
        <v>93</v>
      </c>
      <c r="B30" s="2" t="s">
        <v>60</v>
      </c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25" customHeight="1" spans="1:12">
      <c r="A31" s="2" t="s">
        <v>93</v>
      </c>
      <c r="B31" s="2" t="s">
        <v>58</v>
      </c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25" customHeight="1" spans="1:12">
      <c r="A32" s="2" t="s">
        <v>93</v>
      </c>
      <c r="B32" s="2" t="s">
        <v>59</v>
      </c>
      <c r="C32" s="3"/>
      <c r="D32" s="3"/>
      <c r="E32" s="3"/>
      <c r="F32" s="3"/>
      <c r="G32" s="3"/>
      <c r="H32" s="3"/>
      <c r="I32" s="3"/>
      <c r="J32" s="3"/>
      <c r="K32" s="3"/>
      <c r="L32" s="3"/>
    </row>
    <row r="33" ht="25" customHeight="1" spans="1:12">
      <c r="A33" s="2" t="s">
        <v>93</v>
      </c>
      <c r="B33" s="2" t="s">
        <v>61</v>
      </c>
      <c r="C33" s="3"/>
      <c r="D33" s="3"/>
      <c r="E33" s="3"/>
      <c r="F33" s="3"/>
      <c r="G33" s="3"/>
      <c r="H33" s="3"/>
      <c r="I33" s="3"/>
      <c r="J33" s="3"/>
      <c r="K33" s="3"/>
      <c r="L33" s="3"/>
    </row>
    <row r="34" ht="25" customHeight="1" spans="1:12">
      <c r="A34" s="2" t="s">
        <v>93</v>
      </c>
      <c r="B34" s="2" t="s">
        <v>62</v>
      </c>
      <c r="C34" s="3"/>
      <c r="D34" s="3"/>
      <c r="E34" s="3"/>
      <c r="F34" s="3"/>
      <c r="G34" s="3"/>
      <c r="H34" s="3"/>
      <c r="I34" s="3"/>
      <c r="J34" s="3"/>
      <c r="K34" s="3"/>
      <c r="L34" s="3"/>
    </row>
    <row r="35" ht="25" customHeight="1" spans="1:12">
      <c r="A35" s="2" t="s">
        <v>63</v>
      </c>
      <c r="B35" s="2" t="s">
        <v>64</v>
      </c>
      <c r="C35" s="3"/>
      <c r="D35" s="3"/>
      <c r="E35" s="3"/>
      <c r="F35" s="3"/>
      <c r="G35" s="3"/>
      <c r="H35" s="3"/>
      <c r="I35" s="3"/>
      <c r="J35" s="3"/>
      <c r="K35" s="3"/>
      <c r="L35" s="3"/>
    </row>
    <row r="36" ht="25" customHeight="1" spans="1:12">
      <c r="A36" s="2" t="s">
        <v>63</v>
      </c>
      <c r="B36" s="2" t="s">
        <v>65</v>
      </c>
      <c r="C36" s="3"/>
      <c r="D36" s="3"/>
      <c r="E36" s="3"/>
      <c r="F36" s="3"/>
      <c r="G36" s="3"/>
      <c r="H36" s="3"/>
      <c r="I36" s="3"/>
      <c r="J36" s="3"/>
      <c r="K36" s="3"/>
      <c r="L36" s="3"/>
    </row>
    <row r="37" ht="25" customHeight="1" spans="1:12">
      <c r="A37" s="2" t="s">
        <v>63</v>
      </c>
      <c r="B37" s="2" t="s">
        <v>63</v>
      </c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25" customHeight="1" spans="1:12">
      <c r="A38" s="2" t="s">
        <v>67</v>
      </c>
      <c r="B38" s="2" t="s">
        <v>72</v>
      </c>
      <c r="C38" s="3"/>
      <c r="D38" s="3"/>
      <c r="E38" s="3"/>
      <c r="F38" s="3"/>
      <c r="G38" s="3"/>
      <c r="H38" s="3"/>
      <c r="I38" s="3"/>
      <c r="J38" s="3"/>
      <c r="K38" s="3"/>
      <c r="L38" s="3"/>
    </row>
    <row r="39" ht="25" customHeight="1" spans="1:12">
      <c r="A39" s="2" t="s">
        <v>67</v>
      </c>
      <c r="B39" s="2" t="s">
        <v>68</v>
      </c>
      <c r="C39" s="3"/>
      <c r="D39" s="3"/>
      <c r="E39" s="3"/>
      <c r="F39" s="3"/>
      <c r="G39" s="3"/>
      <c r="H39" s="3"/>
      <c r="I39" s="3"/>
      <c r="J39" s="3"/>
      <c r="K39" s="3"/>
      <c r="L39" s="3"/>
    </row>
    <row r="40" ht="25" customHeight="1" spans="1:12">
      <c r="A40" s="2" t="s">
        <v>67</v>
      </c>
      <c r="B40" s="2" t="s">
        <v>71</v>
      </c>
      <c r="C40" s="3"/>
      <c r="D40" s="3"/>
      <c r="E40" s="3"/>
      <c r="F40" s="3"/>
      <c r="G40" s="3"/>
      <c r="H40" s="3"/>
      <c r="I40" s="3"/>
      <c r="J40" s="3"/>
      <c r="K40" s="3"/>
      <c r="L40" s="3"/>
    </row>
    <row r="41" ht="25" customHeight="1" spans="1:12">
      <c r="A41" s="2" t="s">
        <v>67</v>
      </c>
      <c r="B41" s="2" t="s">
        <v>67</v>
      </c>
      <c r="C41" s="3"/>
      <c r="D41" s="3"/>
      <c r="E41" s="3"/>
      <c r="F41" s="3"/>
      <c r="G41" s="3"/>
      <c r="H41" s="3"/>
      <c r="I41" s="3"/>
      <c r="J41" s="3"/>
      <c r="K41" s="3"/>
      <c r="L41" s="3"/>
    </row>
    <row r="42" ht="25" customHeight="1" spans="1:12">
      <c r="A42" s="2" t="s">
        <v>94</v>
      </c>
      <c r="B42" s="2" t="s">
        <v>95</v>
      </c>
      <c r="C42" s="3"/>
      <c r="D42" s="3"/>
      <c r="E42" s="3"/>
      <c r="F42" s="3"/>
      <c r="G42" s="3"/>
      <c r="H42" s="3"/>
      <c r="I42" s="3"/>
      <c r="J42" s="3"/>
      <c r="K42" s="3"/>
      <c r="L42" s="3"/>
    </row>
    <row r="43" ht="25" customHeight="1" spans="1:12">
      <c r="A43" s="2" t="s">
        <v>67</v>
      </c>
      <c r="B43" s="2" t="s">
        <v>96</v>
      </c>
      <c r="C43" s="3"/>
      <c r="D43" s="3"/>
      <c r="E43" s="3"/>
      <c r="F43" s="3"/>
      <c r="G43" s="3"/>
      <c r="H43" s="3"/>
      <c r="I43" s="3"/>
      <c r="J43" s="3"/>
      <c r="K43" s="3"/>
      <c r="L43" s="3"/>
    </row>
    <row r="44" ht="25" customHeight="1" spans="1:12">
      <c r="A44" s="2" t="s">
        <v>67</v>
      </c>
      <c r="B44" s="2" t="s">
        <v>70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ht="25" customHeight="1" spans="1:12">
      <c r="A45" s="2" t="s">
        <v>94</v>
      </c>
      <c r="B45" s="2" t="s">
        <v>73</v>
      </c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25" customHeight="1" spans="1:12">
      <c r="A46" s="2" t="s">
        <v>94</v>
      </c>
      <c r="B46" s="2" t="s">
        <v>74</v>
      </c>
      <c r="C46" s="3"/>
      <c r="D46" s="3"/>
      <c r="E46" s="3"/>
      <c r="F46" s="3"/>
      <c r="G46" s="3"/>
      <c r="H46" s="3"/>
      <c r="I46" s="3"/>
      <c r="J46" s="3"/>
      <c r="K46" s="3"/>
      <c r="L46" s="3"/>
    </row>
    <row r="47" ht="25" customHeight="1" spans="1:12">
      <c r="A47" s="2" t="s">
        <v>94</v>
      </c>
      <c r="B47" s="2" t="s">
        <v>75</v>
      </c>
      <c r="C47" s="3"/>
      <c r="D47" s="3"/>
      <c r="E47" s="3"/>
      <c r="F47" s="3"/>
      <c r="G47" s="3"/>
      <c r="H47" s="3"/>
      <c r="I47" s="3"/>
      <c r="J47" s="3"/>
      <c r="K47" s="3"/>
      <c r="L47" s="3"/>
    </row>
    <row r="48" ht="25" customHeight="1" spans="1:12">
      <c r="A48" s="2" t="s">
        <v>94</v>
      </c>
      <c r="B48" s="2" t="s">
        <v>97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ht="25" customHeight="1" spans="1:12">
      <c r="A49" s="2" t="s">
        <v>94</v>
      </c>
      <c r="B49" s="2" t="s">
        <v>77</v>
      </c>
      <c r="C49" s="3"/>
      <c r="D49" s="3"/>
      <c r="E49" s="3"/>
      <c r="F49" s="3"/>
      <c r="G49" s="3"/>
      <c r="H49" s="3"/>
      <c r="I49" s="3"/>
      <c r="J49" s="3"/>
      <c r="K49" s="3"/>
      <c r="L49" s="3"/>
    </row>
    <row r="50" ht="25" customHeight="1" spans="1:12">
      <c r="A50" s="2" t="s">
        <v>94</v>
      </c>
      <c r="B50" s="2" t="s">
        <v>78</v>
      </c>
      <c r="C50" s="3"/>
      <c r="D50" s="3"/>
      <c r="E50" s="3"/>
      <c r="F50" s="3"/>
      <c r="G50" s="3"/>
      <c r="H50" s="3"/>
      <c r="I50" s="3"/>
      <c r="J50" s="3"/>
      <c r="K50" s="3"/>
      <c r="L50" s="3"/>
    </row>
    <row r="51" ht="25" customHeight="1" spans="1:12">
      <c r="A51" s="2" t="s">
        <v>94</v>
      </c>
      <c r="B51" s="2" t="s">
        <v>98</v>
      </c>
      <c r="C51" s="3"/>
      <c r="D51" s="3"/>
      <c r="E51" s="3"/>
      <c r="F51" s="3"/>
      <c r="G51" s="3"/>
      <c r="H51" s="3"/>
      <c r="I51" s="3"/>
      <c r="J51" s="3"/>
      <c r="K51" s="3"/>
      <c r="L51" s="3"/>
    </row>
    <row r="52" ht="25" customHeight="1" spans="1:12">
      <c r="A52" s="2" t="s">
        <v>94</v>
      </c>
      <c r="B52" s="2" t="s">
        <v>80</v>
      </c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25" customHeight="1" spans="1:12">
      <c r="A53" s="2" t="s">
        <v>94</v>
      </c>
      <c r="B53" s="2" t="s">
        <v>82</v>
      </c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25" customHeight="1" spans="1:12">
      <c r="A54" s="2" t="s">
        <v>94</v>
      </c>
      <c r="B54" s="2" t="s">
        <v>81</v>
      </c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25" customHeight="1" spans="1:12">
      <c r="A55" s="2" t="s">
        <v>84</v>
      </c>
      <c r="B55" s="2" t="s">
        <v>84</v>
      </c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25" customHeight="1" spans="1:12">
      <c r="A56" s="2" t="s">
        <v>99</v>
      </c>
      <c r="B56" s="2" t="s">
        <v>86</v>
      </c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25" customHeight="1" spans="1:12">
      <c r="A57" s="2" t="s">
        <v>99</v>
      </c>
      <c r="B57" s="2" t="s">
        <v>87</v>
      </c>
      <c r="C57" s="3"/>
      <c r="D57" s="3"/>
      <c r="E57" s="3"/>
      <c r="F57" s="3"/>
      <c r="G57" s="3"/>
      <c r="H57" s="3"/>
      <c r="I57" s="3"/>
      <c r="J57" s="3"/>
      <c r="K57" s="3"/>
      <c r="L57" s="3"/>
    </row>
    <row r="74" customFormat="1" spans="12:12">
      <c r="L74" s="1"/>
    </row>
    <row r="1048561" customFormat="1" spans="12:12">
      <c r="L1048561" s="1"/>
    </row>
    <row r="1048562" customFormat="1" spans="12:12">
      <c r="L1048562" s="1"/>
    </row>
    <row r="1048563" customFormat="1" spans="12:12">
      <c r="L1048563" s="1"/>
    </row>
    <row r="1048564" customFormat="1" spans="12:12">
      <c r="L1048564" s="1"/>
    </row>
    <row r="1048565" customFormat="1" spans="12:12">
      <c r="L1048565" s="1"/>
    </row>
    <row r="1048566" customFormat="1" spans="12:12">
      <c r="L1048566" s="1"/>
    </row>
    <row r="1048567" customFormat="1" spans="12:12">
      <c r="L1048567" s="1"/>
    </row>
    <row r="1048568" customFormat="1" spans="12:12">
      <c r="L1048568" s="1"/>
    </row>
    <row r="1048569" customFormat="1" spans="12:12">
      <c r="L1048569" s="1"/>
    </row>
    <row r="1048570" customFormat="1" spans="12:12">
      <c r="L1048570" s="1"/>
    </row>
    <row r="1048571" customFormat="1" spans="12:12">
      <c r="L1048571" s="1"/>
    </row>
    <row r="1048572" customFormat="1" spans="12:12">
      <c r="L1048572" s="1"/>
    </row>
    <row r="1048573" customFormat="1" spans="12:12">
      <c r="L1048573" s="1"/>
    </row>
    <row r="1048574" customFormat="1" spans="12:12">
      <c r="L1048574" s="1"/>
    </row>
    <row r="1048575" customFormat="1" spans="12:12">
      <c r="L1048575" s="1"/>
    </row>
    <row r="1048576" customFormat="1" spans="12:12">
      <c r="L1048576" s="1"/>
    </row>
  </sheetData>
  <pageMargins left="0.75" right="0.75" top="1" bottom="1" header="0.5" footer="0.5"/>
  <pageSetup paperSize="9" scale="70" fitToHeight="0" orientation="portrait" blackAndWhite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CODIGO</vt:lpstr>
      <vt:lpstr>493-01</vt:lpstr>
      <vt:lpstr>493-02</vt:lpstr>
      <vt:lpstr>493-03</vt:lpstr>
      <vt:lpstr>ELEGANCE-04</vt:lpstr>
      <vt:lpstr>ELEGANCE-05</vt:lpstr>
      <vt:lpstr>2025</vt:lpstr>
      <vt:lpstr>7003</vt:lpstr>
      <vt:lpstr>JANET Pretina 06</vt:lpstr>
      <vt:lpstr>CAPRI</vt:lpstr>
      <vt:lpstr>MAYON</vt:lpstr>
      <vt:lpstr>Hoja6</vt:lpstr>
      <vt:lpstr>Hoja7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</dc:creator>
  <cp:lastModifiedBy>LENOVO G 41-35</cp:lastModifiedBy>
  <dcterms:created xsi:type="dcterms:W3CDTF">2026-09-03T18:10:00Z</dcterms:created>
  <dcterms:modified xsi:type="dcterms:W3CDTF">2026-09-14T19:49:56Z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6404464EFAB54741AE01248B234D3E5D_13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1</vt:i4>
  </property>
</Properties>
</file>